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ml.chartshapes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drawings/drawing13.xml" ContentType="application/vnd.openxmlformats-officedocument.drawingml.chartshapes+xml"/>
  <Override PartName="/xl/drawings/drawing14.xml" ContentType="application/vnd.openxmlformats-officedocument.drawingml.chartshapes+xml"/>
  <Override PartName="/xl/drawings/drawing15.xml" ContentType="application/vnd.openxmlformats-officedocument.drawingml.chartshapes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drawings/drawing18.xml" ContentType="application/vnd.openxmlformats-officedocument.drawingml.chartshapes+xml"/>
  <Override PartName="/xl/drawings/drawing19.xml" ContentType="application/vnd.openxmlformats-officedocument.drawingml.chartshapes+xml"/>
  <Override PartName="/xl/drawings/drawing2.xml" ContentType="application/vnd.openxmlformats-officedocument.drawingml.chartshapes+xml"/>
  <Override PartName="/xl/drawings/drawing20.xml" ContentType="application/vnd.openxmlformats-officedocument.drawingml.chartshapes+xml"/>
  <Override PartName="/xl/drawings/drawing21.xml" ContentType="application/vnd.openxmlformats-officedocument.drawingml.chartshapes+xml"/>
  <Override PartName="/xl/drawings/drawing22.xml" ContentType="application/vnd.openxmlformats-officedocument.drawingml.chartshapes+xml"/>
  <Override PartName="/xl/drawings/drawing23.xml" ContentType="application/vnd.openxmlformats-officedocument.drawingml.chartshapes+xml"/>
  <Override PartName="/xl/drawings/drawing24.xml" ContentType="application/vnd.openxmlformats-officedocument.drawingml.chartshapes+xml"/>
  <Override PartName="/xl/drawings/drawing25.xml" ContentType="application/vnd.openxmlformats-officedocument.drawingml.chartshapes+xml"/>
  <Override PartName="/xl/drawings/drawing26.xml" ContentType="application/vnd.openxmlformats-officedocument.drawingml.chartshapes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drawings/drawing29.xml" ContentType="application/vnd.openxmlformats-officedocument.drawingml.chartshapes+xml"/>
  <Override PartName="/xl/drawings/drawing3.xml" ContentType="application/vnd.openxmlformats-officedocument.drawing+xml"/>
  <Override PartName="/xl/drawings/drawing30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drawings/drawing9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  <sheet name="Desc1" sheetId="10" r:id="rId2"/>
    <sheet name="Nonlinear regression" sheetId="5" r:id="rId3"/>
    <sheet name="Linear regression" sheetId="4" r:id="rId4"/>
    <sheet name="Sheet2" sheetId="2" r:id="rId5"/>
    <sheet name="Desc" sheetId="8" r:id="rId6"/>
    <sheet name="Sheet3" sheetId="3" r:id="rId7"/>
    <sheet name="Sheet6" sheetId="6" r:id="rId8"/>
    <sheet name="Sheet7" sheetId="7" r:id="rId9"/>
    <sheet name="Sheet4" sheetId="9" r:id="rId10"/>
    <sheet name="Sheet5" sheetId="11" r:id="rId11"/>
  </sheets>
  <definedNames>
    <definedName name="xdata1" localSheetId="3" hidden="1">-4000+(ROW(OFFSET('Linear regression'!$B$1,0,0,70,1))-1)*231.884057971014</definedName>
    <definedName name="xdata2" localSheetId="3" hidden="1">-4000+(ROW(OFFSET('Linear regression'!$B$1,0,0,70,1))-1)*231.884057971014</definedName>
    <definedName name="ydata1" localSheetId="3" hidden="1">0+1*'Linear regression'!xdata1-2202.93372554427*(1.00833333333333+('Linear regression'!xdata1-4458.65)^2/1002332842.35287)^0.5</definedName>
    <definedName name="ydata2" localSheetId="3" hidden="1">0+1*'Linear regression'!xdata2+2202.93372554427*(1.00833333333333+('Linear regression'!xdata2-4458.65)^2/1002332842.35287)^0.5</definedName>
  </definedNames>
  <calcPr calcId="144525"/>
</workbook>
</file>

<file path=xl/sharedStrings.xml><?xml version="1.0" encoding="utf-8"?>
<sst xmlns="http://schemas.openxmlformats.org/spreadsheetml/2006/main" count="798" uniqueCount="281">
  <si>
    <t>X1</t>
  </si>
  <si>
    <t>X2</t>
  </si>
  <si>
    <t>X3</t>
  </si>
  <si>
    <t>X4</t>
  </si>
  <si>
    <t>X5</t>
  </si>
  <si>
    <t>Target</t>
  </si>
  <si>
    <t>LR</t>
  </si>
  <si>
    <t>NLR</t>
  </si>
  <si>
    <t>M5P</t>
  </si>
  <si>
    <t>RF</t>
  </si>
  <si>
    <t>RT</t>
  </si>
  <si>
    <t>REP Tree</t>
  </si>
  <si>
    <t>GP_PUK</t>
  </si>
  <si>
    <t>GP_RBF</t>
  </si>
  <si>
    <t>Minimum</t>
  </si>
  <si>
    <t>Training</t>
  </si>
  <si>
    <t>Testing</t>
  </si>
  <si>
    <t>Mean</t>
  </si>
  <si>
    <t>Maximum</t>
  </si>
  <si>
    <t>Standard Deviation</t>
  </si>
  <si>
    <t>Kurtosis</t>
  </si>
  <si>
    <t>Skewness</t>
  </si>
  <si>
    <t>Confidence Level(95.0%)</t>
  </si>
  <si>
    <t>Count</t>
  </si>
  <si>
    <t>Standard Error</t>
  </si>
  <si>
    <t>Median</t>
  </si>
  <si>
    <t>Mode</t>
  </si>
  <si>
    <t>Sample Variance</t>
  </si>
  <si>
    <t>Range</t>
  </si>
  <si>
    <t>Sum</t>
  </si>
  <si>
    <t>CC</t>
  </si>
  <si>
    <t>NSME</t>
  </si>
  <si>
    <t>RMSE</t>
  </si>
  <si>
    <t>NRMSE</t>
  </si>
  <si>
    <t>MAE</t>
  </si>
  <si>
    <t>LMI</t>
  </si>
  <si>
    <t>WI</t>
  </si>
  <si>
    <t>Models</t>
  </si>
  <si>
    <t>Training data set</t>
  </si>
  <si>
    <t>Testing data set</t>
  </si>
  <si>
    <t>XLSTAT 2014.5.03 - Descriptive statistics - on 3/22/2021 at 2:31:40 PM</t>
  </si>
  <si>
    <t>Statistic</t>
  </si>
  <si>
    <t>Observed</t>
  </si>
  <si>
    <t>Quantitative data: Workbook = Apurva data.xlsx / Sheet = Sheet1 / Range = Sheet1!$F$1:$N$121 / 120 rows and 9 columns</t>
  </si>
  <si>
    <t>1st Quartile</t>
  </si>
  <si>
    <t>Descriptive statistics (Quantitative data):</t>
  </si>
  <si>
    <t>No. of observations</t>
  </si>
  <si>
    <t>3rd Quartile</t>
  </si>
  <si>
    <t>IQR</t>
  </si>
  <si>
    <t>Min</t>
  </si>
  <si>
    <t>Max</t>
  </si>
  <si>
    <r>
      <rPr>
        <sz val="11"/>
        <color rgb="FF000000"/>
        <rFont val="Calibri"/>
        <charset val="134"/>
        <scheme val="minor"/>
      </rPr>
      <t>1</t>
    </r>
    <r>
      <rPr>
        <vertAlign val="superscript"/>
        <sz val="11"/>
        <color rgb="FF000000"/>
        <rFont val="Calibri"/>
        <charset val="134"/>
        <scheme val="minor"/>
      </rPr>
      <t>st</t>
    </r>
    <r>
      <rPr>
        <sz val="11"/>
        <color rgb="FF000000"/>
        <rFont val="Calibri"/>
        <charset val="134"/>
        <scheme val="minor"/>
      </rPr>
      <t xml:space="preserve"> Quartile</t>
    </r>
  </si>
  <si>
    <r>
      <rPr>
        <sz val="11"/>
        <color rgb="FF000000"/>
        <rFont val="Calibri"/>
        <charset val="134"/>
        <scheme val="minor"/>
      </rPr>
      <t>3</t>
    </r>
    <r>
      <rPr>
        <vertAlign val="superscript"/>
        <sz val="11"/>
        <color rgb="FF000000"/>
        <rFont val="Calibri"/>
        <charset val="134"/>
        <scheme val="minor"/>
      </rPr>
      <t>rd</t>
    </r>
    <r>
      <rPr>
        <sz val="11"/>
        <color rgb="FF000000"/>
        <rFont val="Calibri"/>
        <charset val="134"/>
        <scheme val="minor"/>
      </rPr>
      <t xml:space="preserve"> Quartile</t>
    </r>
  </si>
  <si>
    <t>Variance (n-1)</t>
  </si>
  <si>
    <t>Standard deviation (n-1)</t>
  </si>
  <si>
    <t>XLSTAT 2014.5.03 - Nonlinear regression - on 3/20/2021 at 4:05:29 PM</t>
  </si>
  <si>
    <t>Y / Quantitative: Workbook = Apurva data.xlsx / Sheet = Sheet1 / Range = Sheet1!$F$1:$F$121 / 120 rows and 1 column</t>
  </si>
  <si>
    <t>X / Quantitative: Workbook = Apurva data.xlsx / Sheet = Sheet1 / Range = Sheet1!$A$1:$E$121 / 120 rows and 5 columns</t>
  </si>
  <si>
    <t>Stop conditions: Iterations = 200 / Convergence = 0.00001</t>
  </si>
  <si>
    <t>Function: Y =  pr1*(X1^pr2)*(X2^pr3)*(X3^pr4)*(X4^pr5)*(X5^pr6)</t>
  </si>
  <si>
    <t>Seed (random numbers): 359063255</t>
  </si>
  <si>
    <t>Summary statistics:</t>
  </si>
  <si>
    <t>Variable</t>
  </si>
  <si>
    <t>Observations</t>
  </si>
  <si>
    <t>Obs. with missing data</t>
  </si>
  <si>
    <t>Obs. without missing data</t>
  </si>
  <si>
    <t>Std. deviation</t>
  </si>
  <si>
    <t>Correlation matrix:</t>
  </si>
  <si>
    <t>Variables</t>
  </si>
  <si>
    <t>Nonlinear regression of variable Target:</t>
  </si>
  <si>
    <t>Goodness of fit statistics:</t>
  </si>
  <si>
    <t>DF</t>
  </si>
  <si>
    <t>R²</t>
  </si>
  <si>
    <t>SSE</t>
  </si>
  <si>
    <t>MSE</t>
  </si>
  <si>
    <t>Iterations</t>
  </si>
  <si>
    <t>Model parameters:</t>
  </si>
  <si>
    <t>Parameter</t>
  </si>
  <si>
    <t>Value</t>
  </si>
  <si>
    <t>pr1</t>
  </si>
  <si>
    <t>pr2</t>
  </si>
  <si>
    <t>pr3</t>
  </si>
  <si>
    <t>pr4</t>
  </si>
  <si>
    <t>pr5</t>
  </si>
  <si>
    <t>pr6</t>
  </si>
  <si>
    <t>Equation of the model:</t>
  </si>
  <si>
    <t>Target = 711.480358217539*(X1^-1.26650157594612)*(X2^0.837564629083682)*(X3^0.372299576829688)*(X4^-0.61984074741796)*(X5^0.062306612359528)</t>
  </si>
  <si>
    <t>Predictions and residuals:</t>
  </si>
  <si>
    <t>Pred(Target)</t>
  </si>
  <si>
    <t>Residuals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</si>
  <si>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</si>
  <si>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</si>
  <si>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</si>
  <si>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</si>
  <si>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</si>
  <si>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</si>
  <si>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</si>
  <si>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</si>
  <si>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</si>
  <si>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</si>
  <si>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</si>
  <si>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</si>
  <si>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</si>
  <si>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</si>
  <si>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</si>
  <si>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</si>
  <si>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</si>
  <si>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</si>
  <si>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</si>
  <si>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</si>
  <si>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</si>
  <si>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</si>
  <si>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</si>
  <si>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</si>
  <si>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</si>
  <si>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</si>
  <si>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</si>
  <si>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</si>
  <si>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</si>
  <si>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</si>
  <si>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</si>
  <si>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</si>
  <si>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</si>
  <si>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</si>
  <si>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</si>
  <si>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</si>
  <si>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</si>
  <si>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</si>
  <si>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</si>
  <si>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</si>
  <si>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</si>
  <si>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</si>
  <si>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</si>
  <si>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</si>
  <si>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</si>
  <si>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</si>
  <si>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</si>
  <si>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</si>
  <si>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</si>
  <si>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</si>
  <si>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</si>
  <si>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</si>
  <si>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</si>
  <si>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</si>
  <si>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</si>
  <si>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</si>
  <si>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</si>
  <si>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</si>
  <si>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</si>
  <si>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</si>
  <si>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</si>
  <si>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</si>
  <si>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</si>
  <si>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</si>
  <si>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</si>
  <si>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</si>
  <si>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</si>
  <si>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</si>
  <si>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</si>
  <si>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</si>
  <si>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</si>
  <si>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</si>
  <si>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</si>
  <si>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</si>
  <si>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</si>
  <si>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</si>
  <si>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</si>
  <si>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</si>
  <si>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</si>
  <si>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</si>
  <si>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</si>
  <si>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</si>
  <si>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</si>
  <si>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</si>
  <si>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</si>
  <si>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</si>
  <si>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</si>
  <si>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</si>
  <si>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</si>
  <si>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</si>
  <si>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</si>
  <si>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</si>
  <si>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</si>
  <si>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</si>
  <si>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</si>
  <si>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</si>
  <si>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</si>
  <si>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</si>
  <si>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</si>
  <si>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</si>
  <si>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</si>
  <si>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</si>
  <si>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</si>
  <si>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</si>
  <si>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</si>
  <si>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</si>
  <si>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</si>
  <si>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</si>
  <si>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</si>
  <si>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</si>
  <si>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</si>
  <si>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</si>
  <si>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</si>
  <si>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</si>
  <si>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</si>
  <si>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</si>
  <si>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</si>
  <si>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</si>
  <si>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</si>
  <si>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</si>
  <si>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XLSTAT 2014.5.03 - Linear regression - on 3/20/2021 at 4:02:38 PM</t>
  </si>
  <si>
    <t>Confidence interval (%): 95</t>
  </si>
  <si>
    <t>Tolerance: 0.0001</t>
  </si>
  <si>
    <t>Multicolinearity statistics:</t>
  </si>
  <si>
    <t>Tolerance</t>
  </si>
  <si>
    <t>VIF</t>
  </si>
  <si>
    <t>Regression of variable Target:</t>
  </si>
  <si>
    <t>Sum of weights</t>
  </si>
  <si>
    <t>Adjusted R²</t>
  </si>
  <si>
    <t>DW</t>
  </si>
  <si>
    <t>Analysis of variance:</t>
  </si>
  <si>
    <t>Source</t>
  </si>
  <si>
    <t>Sum of squares</t>
  </si>
  <si>
    <t>Mean squares</t>
  </si>
  <si>
    <t>F</t>
  </si>
  <si>
    <t>Pr &gt; F</t>
  </si>
  <si>
    <t>Model</t>
  </si>
  <si>
    <t>&lt; 0.0001</t>
  </si>
  <si>
    <t>Error</t>
  </si>
  <si>
    <t>Corrected Total</t>
  </si>
  <si>
    <t>Computed against model Y=Mean(Y)</t>
  </si>
  <si>
    <t>Standard error</t>
  </si>
  <si>
    <t>t</t>
  </si>
  <si>
    <t>Pr &gt; |t|</t>
  </si>
  <si>
    <t>Lower bound (95%)</t>
  </si>
  <si>
    <t>Upper bound (95%)</t>
  </si>
  <si>
    <t>Intercept</t>
  </si>
  <si>
    <t>Target = 3671-2090*X1+321.93505*X2+35.98554*X3-109.01381*X4+2.30058*X5</t>
  </si>
  <si>
    <t>Standardized coefficients:</t>
  </si>
  <si>
    <t>Observation</t>
  </si>
  <si>
    <t>Weight</t>
  </si>
  <si>
    <t>Residual</t>
  </si>
  <si>
    <t>Std. residual</t>
  </si>
  <si>
    <t>Studentized residuals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</si>
  <si>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</si>
  <si>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</si>
  <si>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</si>
  <si>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</si>
  <si>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</si>
  <si>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</si>
  <si>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t>XLSTAT 2014.5.03 - Descriptive statistics - on 3/20/2021 at 11:55:22 PM</t>
  </si>
  <si>
    <t>Quantitative data: Workbook = Apurva data.xlsx / Sheet = Sheet2 / Range = Sheet2!$F$1:$N$57 / 56 rows and 9 columns</t>
  </si>
  <si>
    <t>Box plots:</t>
  </si>
  <si>
    <t>inst#</t>
  </si>
  <si>
    <t>actual</t>
  </si>
  <si>
    <t>predicted</t>
  </si>
  <si>
    <t>error</t>
  </si>
  <si>
    <t>Anova: Single Factor</t>
  </si>
  <si>
    <t>SUMMARY</t>
  </si>
  <si>
    <t>Groups</t>
  </si>
  <si>
    <t>Average</t>
  </si>
  <si>
    <t>Variance</t>
  </si>
  <si>
    <t>Source of Variation</t>
  </si>
  <si>
    <t>SS</t>
  </si>
  <si>
    <t>df</t>
  </si>
  <si>
    <t>MS</t>
  </si>
  <si>
    <t>P-value</t>
  </si>
  <si>
    <t>F crit</t>
  </si>
  <si>
    <t>Betweenobserbed and LR Groups</t>
  </si>
  <si>
    <t>Between observed and NLR Groups</t>
  </si>
  <si>
    <t>Between observed and M5P Groups</t>
  </si>
  <si>
    <t>Betweenobserbed and RF Groups</t>
  </si>
  <si>
    <t>ANOVA</t>
  </si>
  <si>
    <t>Between observed and RT Groups</t>
  </si>
  <si>
    <t>Between observed and REP Tree Groups</t>
  </si>
  <si>
    <t>Between Groups</t>
  </si>
  <si>
    <t>Betweenobserbed and GP_PUK Groups</t>
  </si>
  <si>
    <t>Within Groups</t>
  </si>
  <si>
    <t>Between observed and GP_RBF Groups</t>
  </si>
  <si>
    <t>Between all applied  Groups</t>
  </si>
  <si>
    <t>Total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</si>
</sst>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0.0000"/>
    <numFmt numFmtId="178" formatCode="_ * #,##0_ ;_ * \-#,##0_ ;_ * &quot;-&quot;_ ;_ @_ "/>
  </numFmts>
  <fonts count="27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vertAlign val="superscript"/>
      <sz val="11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23" borderId="12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4" fillId="2" borderId="13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" borderId="12" applyNumberFormat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4" xfId="0" applyBorder="1" applyAlignment="1"/>
    <xf numFmtId="0" fontId="0" fillId="0" borderId="4" xfId="0" applyNumberFormat="1" applyBorder="1" applyAlignment="1"/>
    <xf numFmtId="2" fontId="0" fillId="0" borderId="3" xfId="0" applyNumberFormat="1" applyFont="1" applyBorder="1" applyAlignment="1">
      <alignment horizontal="center"/>
    </xf>
    <xf numFmtId="2" fontId="0" fillId="0" borderId="3" xfId="0" applyNumberFormat="1" applyBorder="1" applyAlignment="1"/>
    <xf numFmtId="2" fontId="0" fillId="0" borderId="3" xfId="0" applyNumberFormat="1" applyBorder="1"/>
    <xf numFmtId="0" fontId="0" fillId="0" borderId="0" xfId="0" applyAlignment="1"/>
    <xf numFmtId="177" fontId="0" fillId="0" borderId="0" xfId="0" applyNumberFormat="1" applyAlignment="1"/>
    <xf numFmtId="0" fontId="0" fillId="0" borderId="2" xfId="0" applyBorder="1" applyAlignment="1"/>
    <xf numFmtId="177" fontId="0" fillId="0" borderId="2" xfId="0" applyNumberFormat="1" applyBorder="1" applyAlignment="1"/>
    <xf numFmtId="0" fontId="0" fillId="0" borderId="5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NumberFormat="1" applyFont="1" applyBorder="1" applyAlignment="1"/>
    <xf numFmtId="177" fontId="2" fillId="0" borderId="4" xfId="0" applyNumberFormat="1" applyFont="1" applyBorder="1" applyAlignment="1"/>
    <xf numFmtId="0" fontId="0" fillId="0" borderId="0" xfId="0" applyNumberFormat="1" applyAlignment="1"/>
    <xf numFmtId="0" fontId="0" fillId="0" borderId="2" xfId="0" applyNumberFormat="1" applyBorder="1" applyAlignment="1"/>
    <xf numFmtId="49" fontId="2" fillId="0" borderId="5" xfId="0" applyNumberFormat="1" applyFont="1" applyBorder="1" applyAlignment="1">
      <alignment horizontal="center"/>
    </xf>
    <xf numFmtId="177" fontId="3" fillId="0" borderId="4" xfId="0" applyNumberFormat="1" applyFont="1" applyBorder="1" applyAlignment="1"/>
    <xf numFmtId="177" fontId="0" fillId="0" borderId="4" xfId="0" applyNumberFormat="1" applyBorder="1" applyAlignment="1"/>
    <xf numFmtId="177" fontId="3" fillId="0" borderId="0" xfId="0" applyNumberFormat="1" applyFont="1" applyAlignment="1"/>
    <xf numFmtId="177" fontId="2" fillId="0" borderId="0" xfId="0" applyNumberFormat="1" applyFont="1" applyAlignment="1"/>
    <xf numFmtId="0" fontId="2" fillId="0" borderId="2" xfId="0" applyFont="1" applyBorder="1" applyAlignment="1"/>
    <xf numFmtId="177" fontId="2" fillId="0" borderId="2" xfId="0" applyNumberFormat="1" applyFont="1" applyBorder="1" applyAlignment="1"/>
    <xf numFmtId="177" fontId="4" fillId="0" borderId="2" xfId="0" applyNumberFormat="1" applyFont="1" applyBorder="1" applyAlignment="1"/>
    <xf numFmtId="0" fontId="3" fillId="0" borderId="0" xfId="0" applyFont="1"/>
    <xf numFmtId="0" fontId="0" fillId="0" borderId="5" xfId="0" applyBorder="1" applyAlignment="1"/>
    <xf numFmtId="177" fontId="0" fillId="0" borderId="5" xfId="0" applyNumberFormat="1" applyBorder="1" applyAlignment="1"/>
    <xf numFmtId="177" fontId="0" fillId="0" borderId="4" xfId="0" applyNumberFormat="1" applyBorder="1" applyAlignment="1">
      <alignment horizontal="right"/>
    </xf>
    <xf numFmtId="0" fontId="1" fillId="0" borderId="0" xfId="0" applyFont="1"/>
    <xf numFmtId="177" fontId="0" fillId="0" borderId="0" xfId="0" applyNumberFormat="1" applyAlignment="1">
      <alignment horizontal="right"/>
    </xf>
    <xf numFmtId="49" fontId="0" fillId="0" borderId="5" xfId="0" applyNumberFormat="1" applyBorder="1" applyAlignment="1">
      <alignment horizontal="center"/>
    </xf>
    <xf numFmtId="177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5" fillId="0" borderId="3" xfId="0" applyFont="1" applyBorder="1"/>
    <xf numFmtId="2" fontId="6" fillId="0" borderId="3" xfId="0" applyNumberFormat="1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2" fontId="0" fillId="0" borderId="3" xfId="0" applyNumberFormat="1" applyFill="1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7" fontId="0" fillId="0" borderId="3" xfId="0" applyNumberFormat="1" applyBorder="1"/>
    <xf numFmtId="177" fontId="0" fillId="0" borderId="3" xfId="0" applyNumberFormat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12946183415706"/>
          <c:h val="0.847543352601156"/>
        </c:manualLayout>
      </c:layout>
      <c:scatterChart>
        <c:scatterStyle val="smooth"/>
        <c:varyColors val="0"/>
        <c:ser>
          <c:idx val="8"/>
          <c:order val="8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2944"/>
        <c:axId val="56724864"/>
      </c:scatterChart>
      <c:scatterChart>
        <c:scatterStyle val="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Sheet1!$G$2:$G$121</c:f>
              <c:numCache>
                <c:formatCode>General</c:formatCode>
                <c:ptCount val="120"/>
                <c:pt idx="0">
                  <c:v>3341.50128947756</c:v>
                </c:pt>
                <c:pt idx="1">
                  <c:v>3521.42898378559</c:v>
                </c:pt>
                <c:pt idx="2">
                  <c:v>3701.35667809362</c:v>
                </c:pt>
                <c:pt idx="3">
                  <c:v>3881.28437240166</c:v>
                </c:pt>
                <c:pt idx="4">
                  <c:v>4061.21206670969</c:v>
                </c:pt>
                <c:pt idx="5">
                  <c:v>4421.06745532576</c:v>
                </c:pt>
                <c:pt idx="6">
                  <c:v>4600.99514963379</c:v>
                </c:pt>
                <c:pt idx="7">
                  <c:v>4780.92284394183</c:v>
                </c:pt>
                <c:pt idx="8">
                  <c:v>4960.85053824986</c:v>
                </c:pt>
                <c:pt idx="9">
                  <c:v>5500.63362117396</c:v>
                </c:pt>
                <c:pt idx="10">
                  <c:v>5680.561315482</c:v>
                </c:pt>
                <c:pt idx="11">
                  <c:v>5860.48900979003</c:v>
                </c:pt>
                <c:pt idx="12">
                  <c:v>6040.41670409806</c:v>
                </c:pt>
                <c:pt idx="13">
                  <c:v>6220.3443984061</c:v>
                </c:pt>
                <c:pt idx="14">
                  <c:v>6760.1274813302</c:v>
                </c:pt>
                <c:pt idx="15">
                  <c:v>6940.05517563823</c:v>
                </c:pt>
                <c:pt idx="16">
                  <c:v>71.0871333042905</c:v>
                </c:pt>
                <c:pt idx="17">
                  <c:v>251.014827612324</c:v>
                </c:pt>
                <c:pt idx="18">
                  <c:v>430.942521920358</c:v>
                </c:pt>
                <c:pt idx="19">
                  <c:v>790.797910536426</c:v>
                </c:pt>
                <c:pt idx="20">
                  <c:v>970.72560484446</c:v>
                </c:pt>
                <c:pt idx="21">
                  <c:v>1510.50868776856</c:v>
                </c:pt>
                <c:pt idx="22">
                  <c:v>1690.43638207659</c:v>
                </c:pt>
                <c:pt idx="23">
                  <c:v>1870.36407638463</c:v>
                </c:pt>
                <c:pt idx="24">
                  <c:v>2050.29177069266</c:v>
                </c:pt>
                <c:pt idx="25">
                  <c:v>2230.2194650007</c:v>
                </c:pt>
                <c:pt idx="26">
                  <c:v>2410.14715930873</c:v>
                </c:pt>
                <c:pt idx="27">
                  <c:v>2590.07485361676</c:v>
                </c:pt>
                <c:pt idx="28">
                  <c:v>2770.0025479248</c:v>
                </c:pt>
                <c:pt idx="29">
                  <c:v>3309.7856308489</c:v>
                </c:pt>
                <c:pt idx="30">
                  <c:v>3489.71332515693</c:v>
                </c:pt>
                <c:pt idx="31">
                  <c:v>3669.64101946497</c:v>
                </c:pt>
                <c:pt idx="32">
                  <c:v>6238.91673912344</c:v>
                </c:pt>
                <c:pt idx="33">
                  <c:v>6418.84443343147</c:v>
                </c:pt>
                <c:pt idx="34">
                  <c:v>6598.7721277395</c:v>
                </c:pt>
                <c:pt idx="35">
                  <c:v>6958.62751635557</c:v>
                </c:pt>
                <c:pt idx="36">
                  <c:v>7138.55521066361</c:v>
                </c:pt>
                <c:pt idx="37">
                  <c:v>7318.48290497164</c:v>
                </c:pt>
                <c:pt idx="38">
                  <c:v>7678.33829358771</c:v>
                </c:pt>
                <c:pt idx="39">
                  <c:v>7858.26598789574</c:v>
                </c:pt>
                <c:pt idx="40">
                  <c:v>8218.12137651181</c:v>
                </c:pt>
                <c:pt idx="41">
                  <c:v>8577.97676512788</c:v>
                </c:pt>
                <c:pt idx="42">
                  <c:v>8757.90445943591</c:v>
                </c:pt>
                <c:pt idx="43">
                  <c:v>8937.83215374394</c:v>
                </c:pt>
                <c:pt idx="44">
                  <c:v>9297.68754236001</c:v>
                </c:pt>
                <c:pt idx="45">
                  <c:v>9477.61523666805</c:v>
                </c:pt>
                <c:pt idx="46">
                  <c:v>9657.54293097608</c:v>
                </c:pt>
                <c:pt idx="47">
                  <c:v>9837.47062528411</c:v>
                </c:pt>
                <c:pt idx="48">
                  <c:v>3148.4302772582</c:v>
                </c:pt>
                <c:pt idx="49">
                  <c:v>3328.35797156624</c:v>
                </c:pt>
                <c:pt idx="50">
                  <c:v>3868.14105449034</c:v>
                </c:pt>
                <c:pt idx="51">
                  <c:v>4048.06874879837</c:v>
                </c:pt>
                <c:pt idx="52">
                  <c:v>4227.99644310641</c:v>
                </c:pt>
                <c:pt idx="53">
                  <c:v>4407.92413741444</c:v>
                </c:pt>
                <c:pt idx="54">
                  <c:v>4587.85183172247</c:v>
                </c:pt>
                <c:pt idx="55">
                  <c:v>5127.63491464658</c:v>
                </c:pt>
                <c:pt idx="56">
                  <c:v>5307.56260895461</c:v>
                </c:pt>
                <c:pt idx="57">
                  <c:v>5667.41799757068</c:v>
                </c:pt>
                <c:pt idx="58">
                  <c:v>6027.27338618675</c:v>
                </c:pt>
                <c:pt idx="59">
                  <c:v>6207.20108049478</c:v>
                </c:pt>
                <c:pt idx="60">
                  <c:v>6387.12877480281</c:v>
                </c:pt>
                <c:pt idx="61">
                  <c:v>6567.05646911085</c:v>
                </c:pt>
                <c:pt idx="62">
                  <c:v>6376.95138855331</c:v>
                </c:pt>
                <c:pt idx="63">
                  <c:v>6556.87908286134</c:v>
                </c:pt>
                <c:pt idx="64">
                  <c:v>6916.73447147741</c:v>
                </c:pt>
                <c:pt idx="65">
                  <c:v>7096.66216578544</c:v>
                </c:pt>
                <c:pt idx="66">
                  <c:v>7276.58986009348</c:v>
                </c:pt>
                <c:pt idx="67">
                  <c:v>7456.51755440151</c:v>
                </c:pt>
                <c:pt idx="68">
                  <c:v>7996.30063732561</c:v>
                </c:pt>
                <c:pt idx="69">
                  <c:v>8176.22833163365</c:v>
                </c:pt>
                <c:pt idx="70">
                  <c:v>8356.15602594168</c:v>
                </c:pt>
                <c:pt idx="71">
                  <c:v>8536.08372024971</c:v>
                </c:pt>
                <c:pt idx="72">
                  <c:v>9075.86680317381</c:v>
                </c:pt>
                <c:pt idx="73">
                  <c:v>9435.72219178988</c:v>
                </c:pt>
                <c:pt idx="74">
                  <c:v>9795.57758040595</c:v>
                </c:pt>
                <c:pt idx="75">
                  <c:v>9975.50527471398</c:v>
                </c:pt>
                <c:pt idx="76">
                  <c:v>2926.60953807201</c:v>
                </c:pt>
                <c:pt idx="77">
                  <c:v>3106.53723238004</c:v>
                </c:pt>
                <c:pt idx="78">
                  <c:v>3286.46492668807</c:v>
                </c:pt>
                <c:pt idx="79">
                  <c:v>3646.32031530414</c:v>
                </c:pt>
                <c:pt idx="80">
                  <c:v>4006.17570392021</c:v>
                </c:pt>
                <c:pt idx="81">
                  <c:v>4186.10339822824</c:v>
                </c:pt>
                <c:pt idx="82">
                  <c:v>4366.03109253628</c:v>
                </c:pt>
                <c:pt idx="83">
                  <c:v>4545.95878684431</c:v>
                </c:pt>
                <c:pt idx="84">
                  <c:v>4725.88648115234</c:v>
                </c:pt>
                <c:pt idx="85">
                  <c:v>5445.59725838448</c:v>
                </c:pt>
                <c:pt idx="86">
                  <c:v>5625.52495269251</c:v>
                </c:pt>
                <c:pt idx="87">
                  <c:v>5985.38034130858</c:v>
                </c:pt>
                <c:pt idx="88">
                  <c:v>6165.30803561662</c:v>
                </c:pt>
                <c:pt idx="89">
                  <c:v>6345.23572992465</c:v>
                </c:pt>
                <c:pt idx="90">
                  <c:v>6705.09111854072</c:v>
                </c:pt>
                <c:pt idx="91">
                  <c:v>1251.40575300331</c:v>
                </c:pt>
                <c:pt idx="92">
                  <c:v>1611.26114161937</c:v>
                </c:pt>
                <c:pt idx="93">
                  <c:v>1791.18883592741</c:v>
                </c:pt>
                <c:pt idx="94">
                  <c:v>2151.04422454348</c:v>
                </c:pt>
                <c:pt idx="95">
                  <c:v>2330.97191885151</c:v>
                </c:pt>
                <c:pt idx="96">
                  <c:v>2510.89961315954</c:v>
                </c:pt>
                <c:pt idx="97">
                  <c:v>2690.82730746758</c:v>
                </c:pt>
                <c:pt idx="98">
                  <c:v>2870.75500177561</c:v>
                </c:pt>
                <c:pt idx="99">
                  <c:v>3230.61039039168</c:v>
                </c:pt>
                <c:pt idx="100">
                  <c:v>3770.39347331578</c:v>
                </c:pt>
                <c:pt idx="101">
                  <c:v>3950.32116762381</c:v>
                </c:pt>
                <c:pt idx="102">
                  <c:v>4130.24886193185</c:v>
                </c:pt>
                <c:pt idx="103">
                  <c:v>4490.10425054792</c:v>
                </c:pt>
                <c:pt idx="104">
                  <c:v>4670.03194485595</c:v>
                </c:pt>
                <c:pt idx="105">
                  <c:v>4849.95963916398</c:v>
                </c:pt>
                <c:pt idx="106">
                  <c:v>-2198.93609747799</c:v>
                </c:pt>
                <c:pt idx="107">
                  <c:v>-2019.00840316996</c:v>
                </c:pt>
                <c:pt idx="108">
                  <c:v>-1479.22532024586</c:v>
                </c:pt>
                <c:pt idx="109">
                  <c:v>-1119.36993162979</c:v>
                </c:pt>
                <c:pt idx="110">
                  <c:v>-939.442237321758</c:v>
                </c:pt>
                <c:pt idx="111">
                  <c:v>-759.514543013724</c:v>
                </c:pt>
                <c:pt idx="112">
                  <c:v>-399.659154397656</c:v>
                </c:pt>
                <c:pt idx="113">
                  <c:v>-39.8037657815876</c:v>
                </c:pt>
                <c:pt idx="114">
                  <c:v>140.123928526446</c:v>
                </c:pt>
                <c:pt idx="115">
                  <c:v>499.979317142514</c:v>
                </c:pt>
                <c:pt idx="116">
                  <c:v>859.834705758581</c:v>
                </c:pt>
                <c:pt idx="117">
                  <c:v>1039.76240006661</c:v>
                </c:pt>
                <c:pt idx="118">
                  <c:v>1219.69009437465</c:v>
                </c:pt>
                <c:pt idx="119">
                  <c:v>1579.54548299072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square"/>
            <c:size val="4"/>
          </c:marke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Sheet1!$H$2:$H$121</c:f>
              <c:numCache>
                <c:formatCode>General</c:formatCode>
                <c:ptCount val="120"/>
                <c:pt idx="0">
                  <c:v>2543.92065185175</c:v>
                </c:pt>
                <c:pt idx="1">
                  <c:v>2958.4365695964</c:v>
                </c:pt>
                <c:pt idx="2">
                  <c:v>3292.88755680551</c:v>
                </c:pt>
                <c:pt idx="3">
                  <c:v>3578.13282256534</c:v>
                </c:pt>
                <c:pt idx="4">
                  <c:v>3829.44293507394</c:v>
                </c:pt>
                <c:pt idx="5">
                  <c:v>4262.36111329642</c:v>
                </c:pt>
                <c:pt idx="6">
                  <c:v>4453.42664758774</c:v>
                </c:pt>
                <c:pt idx="7">
                  <c:v>4631.58669648217</c:v>
                </c:pt>
                <c:pt idx="8">
                  <c:v>4798.88427421617</c:v>
                </c:pt>
                <c:pt idx="9">
                  <c:v>5249.68450086011</c:v>
                </c:pt>
                <c:pt idx="10">
                  <c:v>5386.27470481637</c:v>
                </c:pt>
                <c:pt idx="11">
                  <c:v>5517.2616576578</c:v>
                </c:pt>
                <c:pt idx="12">
                  <c:v>5643.20508587503</c:v>
                </c:pt>
                <c:pt idx="13">
                  <c:v>5764.579639036</c:v>
                </c:pt>
                <c:pt idx="14">
                  <c:v>6105.08767043615</c:v>
                </c:pt>
                <c:pt idx="15">
                  <c:v>6211.74496995946</c:v>
                </c:pt>
                <c:pt idx="16">
                  <c:v>1287.55077870771</c:v>
                </c:pt>
                <c:pt idx="17">
                  <c:v>1497.34910409587</c:v>
                </c:pt>
                <c:pt idx="18">
                  <c:v>1666.62428518582</c:v>
                </c:pt>
                <c:pt idx="19">
                  <c:v>1938.19026135196</c:v>
                </c:pt>
                <c:pt idx="20">
                  <c:v>2052.67724768879</c:v>
                </c:pt>
                <c:pt idx="21">
                  <c:v>2344.1780911551</c:v>
                </c:pt>
                <c:pt idx="22">
                  <c:v>2428.85216553338</c:v>
                </c:pt>
                <c:pt idx="23">
                  <c:v>2508.8214090647</c:v>
                </c:pt>
                <c:pt idx="24">
                  <c:v>2584.70905642568</c:v>
                </c:pt>
                <c:pt idx="25">
                  <c:v>2657.01501425844</c:v>
                </c:pt>
                <c:pt idx="26">
                  <c:v>2726.14721118436</c:v>
                </c:pt>
                <c:pt idx="27">
                  <c:v>2792.44344295117</c:v>
                </c:pt>
                <c:pt idx="28">
                  <c:v>2856.18700309569</c:v>
                </c:pt>
                <c:pt idx="29">
                  <c:v>3034.33790738792</c:v>
                </c:pt>
                <c:pt idx="30">
                  <c:v>3089.95894916261</c:v>
                </c:pt>
                <c:pt idx="31">
                  <c:v>3143.94124965462</c:v>
                </c:pt>
                <c:pt idx="32">
                  <c:v>4546.06496479233</c:v>
                </c:pt>
                <c:pt idx="33">
                  <c:v>5286.81774323926</c:v>
                </c:pt>
                <c:pt idx="34">
                  <c:v>5884.49201200421</c:v>
                </c:pt>
                <c:pt idx="35">
                  <c:v>6843.33308475602</c:v>
                </c:pt>
                <c:pt idx="36">
                  <c:v>7247.56201779501</c:v>
                </c:pt>
                <c:pt idx="37">
                  <c:v>7616.9712724119</c:v>
                </c:pt>
                <c:pt idx="38">
                  <c:v>8276.78882081063</c:v>
                </c:pt>
                <c:pt idx="39">
                  <c:v>8575.75477176415</c:v>
                </c:pt>
                <c:pt idx="40">
                  <c:v>9126.05194289249</c:v>
                </c:pt>
                <c:pt idx="41">
                  <c:v>9625.43965688905</c:v>
                </c:pt>
                <c:pt idx="42">
                  <c:v>9859.51739698047</c:v>
                </c:pt>
                <c:pt idx="43">
                  <c:v>10084.5822024206</c:v>
                </c:pt>
                <c:pt idx="44">
                  <c:v>10510.9439972029</c:v>
                </c:pt>
                <c:pt idx="45">
                  <c:v>10713.5947414537</c:v>
                </c:pt>
                <c:pt idx="46">
                  <c:v>10909.9806809434</c:v>
                </c:pt>
                <c:pt idx="47">
                  <c:v>11100.5805773078</c:v>
                </c:pt>
                <c:pt idx="48">
                  <c:v>2675.80920703581</c:v>
                </c:pt>
                <c:pt idx="49">
                  <c:v>2978.30919641311</c:v>
                </c:pt>
                <c:pt idx="50">
                  <c:v>3668.1977926284</c:v>
                </c:pt>
                <c:pt idx="51">
                  <c:v>3855.16634964592</c:v>
                </c:pt>
                <c:pt idx="52">
                  <c:v>4027.97888213624</c:v>
                </c:pt>
                <c:pt idx="53">
                  <c:v>4189.11882478598</c:v>
                </c:pt>
                <c:pt idx="54">
                  <c:v>4340.43401721429</c:v>
                </c:pt>
                <c:pt idx="55">
                  <c:v>4748.16809182122</c:v>
                </c:pt>
                <c:pt idx="56">
                  <c:v>4871.70946806473</c:v>
                </c:pt>
                <c:pt idx="57">
                  <c:v>5104.09460224989</c:v>
                </c:pt>
                <c:pt idx="58">
                  <c:v>5319.8884637776</c:v>
                </c:pt>
                <c:pt idx="59">
                  <c:v>5422.45578378259</c:v>
                </c:pt>
                <c:pt idx="60">
                  <c:v>5521.8523074647</c:v>
                </c:pt>
                <c:pt idx="61">
                  <c:v>5618.32034973913</c:v>
                </c:pt>
                <c:pt idx="62">
                  <c:v>4746.70013666682</c:v>
                </c:pt>
                <c:pt idx="63">
                  <c:v>5520.14515822318</c:v>
                </c:pt>
                <c:pt idx="64">
                  <c:v>6676.43605374243</c:v>
                </c:pt>
                <c:pt idx="65">
                  <c:v>7145.35545361524</c:v>
                </c:pt>
                <c:pt idx="66">
                  <c:v>7567.424549979</c:v>
                </c:pt>
                <c:pt idx="67">
                  <c:v>7953.13724281467</c:v>
                </c:pt>
                <c:pt idx="68">
                  <c:v>8954.23551190136</c:v>
                </c:pt>
                <c:pt idx="69">
                  <c:v>9249.05108382021</c:v>
                </c:pt>
                <c:pt idx="70">
                  <c:v>9528.81939436499</c:v>
                </c:pt>
                <c:pt idx="71">
                  <c:v>9795.38340535576</c:v>
                </c:pt>
                <c:pt idx="72">
                  <c:v>10529.653247189</c:v>
                </c:pt>
                <c:pt idx="73">
                  <c:v>10974.8320128328</c:v>
                </c:pt>
                <c:pt idx="74">
                  <c:v>11391.4797061489</c:v>
                </c:pt>
                <c:pt idx="75">
                  <c:v>11590.4915023129</c:v>
                </c:pt>
                <c:pt idx="76">
                  <c:v>1856.0055124343</c:v>
                </c:pt>
                <c:pt idx="77">
                  <c:v>2402.4402855524</c:v>
                </c:pt>
                <c:pt idx="78">
                  <c:v>2793.90286480682</c:v>
                </c:pt>
                <c:pt idx="79">
                  <c:v>3379.13465725866</c:v>
                </c:pt>
                <c:pt idx="80">
                  <c:v>3830.08934065806</c:v>
                </c:pt>
                <c:pt idx="81">
                  <c:v>4025.30953263084</c:v>
                </c:pt>
                <c:pt idx="82">
                  <c:v>4205.74894076565</c:v>
                </c:pt>
                <c:pt idx="83">
                  <c:v>4374.00060318617</c:v>
                </c:pt>
                <c:pt idx="84">
                  <c:v>4531.99391171603</c:v>
                </c:pt>
                <c:pt idx="85">
                  <c:v>5086.71657289444</c:v>
                </c:pt>
                <c:pt idx="86">
                  <c:v>5210.41867506454</c:v>
                </c:pt>
                <c:pt idx="87">
                  <c:v>5443.9820455934</c:v>
                </c:pt>
                <c:pt idx="88">
                  <c:v>5554.67541569085</c:v>
                </c:pt>
                <c:pt idx="89">
                  <c:v>5661.76942241001</c:v>
                </c:pt>
                <c:pt idx="90">
                  <c:v>5866.27823809882</c:v>
                </c:pt>
                <c:pt idx="91">
                  <c:v>1057.42262153918</c:v>
                </c:pt>
                <c:pt idx="92">
                  <c:v>1368.74308175314</c:v>
                </c:pt>
                <c:pt idx="93">
                  <c:v>1487.30998614218</c:v>
                </c:pt>
                <c:pt idx="94">
                  <c:v>1685.79553701444</c:v>
                </c:pt>
                <c:pt idx="95">
                  <c:v>1771.72077245719</c:v>
                </c:pt>
                <c:pt idx="96">
                  <c:v>1851.14031646263</c:v>
                </c:pt>
                <c:pt idx="97">
                  <c:v>1925.19548238078</c:v>
                </c:pt>
                <c:pt idx="98">
                  <c:v>1994.73548281117</c:v>
                </c:pt>
                <c:pt idx="99">
                  <c:v>2122.73556240236</c:v>
                </c:pt>
                <c:pt idx="100">
                  <c:v>2293.34090334596</c:v>
                </c:pt>
                <c:pt idx="101">
                  <c:v>2345.69136873258</c:v>
                </c:pt>
                <c:pt idx="102">
                  <c:v>2396.14270576552</c:v>
                </c:pt>
                <c:pt idx="103">
                  <c:v>2492.00077987311</c:v>
                </c:pt>
                <c:pt idx="104">
                  <c:v>2537.68049113481</c:v>
                </c:pt>
                <c:pt idx="105">
                  <c:v>2582.01435869712</c:v>
                </c:pt>
                <c:pt idx="106">
                  <c:v>413.462438755946</c:v>
                </c:pt>
                <c:pt idx="107">
                  <c:v>535.191739881854</c:v>
                </c:pt>
                <c:pt idx="108">
                  <c:v>752.769992823154</c:v>
                </c:pt>
                <c:pt idx="109">
                  <c:v>853.229189693849</c:v>
                </c:pt>
                <c:pt idx="110">
                  <c:v>896.718401405081</c:v>
                </c:pt>
                <c:pt idx="111">
                  <c:v>936.914897178009</c:v>
                </c:pt>
                <c:pt idx="112">
                  <c:v>1009.59250530865</c:v>
                </c:pt>
                <c:pt idx="113">
                  <c:v>1074.37699535645</c:v>
                </c:pt>
                <c:pt idx="114">
                  <c:v>1104.43216057112</c:v>
                </c:pt>
                <c:pt idx="115">
                  <c:v>1160.72522301195</c:v>
                </c:pt>
                <c:pt idx="116">
                  <c:v>1212.75614648494</c:v>
                </c:pt>
                <c:pt idx="117">
                  <c:v>1237.41531395399</c:v>
                </c:pt>
                <c:pt idx="118">
                  <c:v>1261.27265106727</c:v>
                </c:pt>
                <c:pt idx="119">
                  <c:v>1306.8310899379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M5P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Sheet1!$I$2:$I$121</c:f>
              <c:numCache>
                <c:formatCode>General</c:formatCode>
                <c:ptCount val="120"/>
                <c:pt idx="0">
                  <c:v>3340.594</c:v>
                </c:pt>
                <c:pt idx="1">
                  <c:v>3489.224</c:v>
                </c:pt>
                <c:pt idx="2">
                  <c:v>3637.854</c:v>
                </c:pt>
                <c:pt idx="3">
                  <c:v>3786.484</c:v>
                </c:pt>
                <c:pt idx="4">
                  <c:v>3935.114</c:v>
                </c:pt>
                <c:pt idx="5">
                  <c:v>4338.719</c:v>
                </c:pt>
                <c:pt idx="6">
                  <c:v>4471.687</c:v>
                </c:pt>
                <c:pt idx="7">
                  <c:v>4604.656</c:v>
                </c:pt>
                <c:pt idx="8">
                  <c:v>4765.653</c:v>
                </c:pt>
                <c:pt idx="9">
                  <c:v>5159.555</c:v>
                </c:pt>
                <c:pt idx="10">
                  <c:v>5290.856</c:v>
                </c:pt>
                <c:pt idx="11">
                  <c:v>5422.157</c:v>
                </c:pt>
                <c:pt idx="12">
                  <c:v>5553.457</c:v>
                </c:pt>
                <c:pt idx="13">
                  <c:v>5684.758</c:v>
                </c:pt>
                <c:pt idx="14">
                  <c:v>6078.66</c:v>
                </c:pt>
                <c:pt idx="15">
                  <c:v>6209.961</c:v>
                </c:pt>
                <c:pt idx="16">
                  <c:v>799.793</c:v>
                </c:pt>
                <c:pt idx="17">
                  <c:v>935.93</c:v>
                </c:pt>
                <c:pt idx="18">
                  <c:v>1072.068</c:v>
                </c:pt>
                <c:pt idx="19">
                  <c:v>1344.343</c:v>
                </c:pt>
                <c:pt idx="20">
                  <c:v>1480.481</c:v>
                </c:pt>
                <c:pt idx="21">
                  <c:v>1888.894</c:v>
                </c:pt>
                <c:pt idx="22">
                  <c:v>2025.032</c:v>
                </c:pt>
                <c:pt idx="23">
                  <c:v>2161.169</c:v>
                </c:pt>
                <c:pt idx="24">
                  <c:v>2297.307</c:v>
                </c:pt>
                <c:pt idx="25">
                  <c:v>2433.445</c:v>
                </c:pt>
                <c:pt idx="26">
                  <c:v>2569.582</c:v>
                </c:pt>
                <c:pt idx="27">
                  <c:v>2705.72</c:v>
                </c:pt>
                <c:pt idx="28">
                  <c:v>2841.858</c:v>
                </c:pt>
                <c:pt idx="29">
                  <c:v>3250.271</c:v>
                </c:pt>
                <c:pt idx="30">
                  <c:v>3386.408</c:v>
                </c:pt>
                <c:pt idx="31">
                  <c:v>3522.546</c:v>
                </c:pt>
                <c:pt idx="32">
                  <c:v>5829.252</c:v>
                </c:pt>
                <c:pt idx="33">
                  <c:v>6163.577</c:v>
                </c:pt>
                <c:pt idx="34">
                  <c:v>6497.902</c:v>
                </c:pt>
                <c:pt idx="35">
                  <c:v>7166.552</c:v>
                </c:pt>
                <c:pt idx="36">
                  <c:v>7802.363</c:v>
                </c:pt>
                <c:pt idx="37">
                  <c:v>7979.739</c:v>
                </c:pt>
                <c:pt idx="38">
                  <c:v>8334.491</c:v>
                </c:pt>
                <c:pt idx="39">
                  <c:v>8622.016</c:v>
                </c:pt>
                <c:pt idx="40">
                  <c:v>8963.78</c:v>
                </c:pt>
                <c:pt idx="41">
                  <c:v>9305.545</c:v>
                </c:pt>
                <c:pt idx="42">
                  <c:v>9476.427</c:v>
                </c:pt>
                <c:pt idx="43">
                  <c:v>9647.31</c:v>
                </c:pt>
                <c:pt idx="44">
                  <c:v>9989.074</c:v>
                </c:pt>
                <c:pt idx="45">
                  <c:v>10159.956</c:v>
                </c:pt>
                <c:pt idx="46">
                  <c:v>10330.839</c:v>
                </c:pt>
                <c:pt idx="47">
                  <c:v>10501.721</c:v>
                </c:pt>
                <c:pt idx="48">
                  <c:v>1711.714</c:v>
                </c:pt>
                <c:pt idx="49">
                  <c:v>1965.511</c:v>
                </c:pt>
                <c:pt idx="50">
                  <c:v>2816.62</c:v>
                </c:pt>
                <c:pt idx="51">
                  <c:v>3101.279</c:v>
                </c:pt>
                <c:pt idx="52">
                  <c:v>3385.939</c:v>
                </c:pt>
                <c:pt idx="53">
                  <c:v>3951.804</c:v>
                </c:pt>
                <c:pt idx="54">
                  <c:v>4195.786</c:v>
                </c:pt>
                <c:pt idx="55">
                  <c:v>4927.731</c:v>
                </c:pt>
                <c:pt idx="56">
                  <c:v>5171.713</c:v>
                </c:pt>
                <c:pt idx="57">
                  <c:v>5659.677</c:v>
                </c:pt>
                <c:pt idx="58">
                  <c:v>6147.641</c:v>
                </c:pt>
                <c:pt idx="59">
                  <c:v>6391.622</c:v>
                </c:pt>
                <c:pt idx="60">
                  <c:v>6635.604</c:v>
                </c:pt>
                <c:pt idx="61">
                  <c:v>6879.586</c:v>
                </c:pt>
                <c:pt idx="62">
                  <c:v>5912.512</c:v>
                </c:pt>
                <c:pt idx="63">
                  <c:v>6246.837</c:v>
                </c:pt>
                <c:pt idx="64">
                  <c:v>6915.487</c:v>
                </c:pt>
                <c:pt idx="65">
                  <c:v>7249.813</c:v>
                </c:pt>
                <c:pt idx="66">
                  <c:v>7968.722</c:v>
                </c:pt>
                <c:pt idx="67">
                  <c:v>8146.098</c:v>
                </c:pt>
                <c:pt idx="68">
                  <c:v>8802.066</c:v>
                </c:pt>
                <c:pt idx="69">
                  <c:v>8972.948</c:v>
                </c:pt>
                <c:pt idx="70">
                  <c:v>9143.83</c:v>
                </c:pt>
                <c:pt idx="71">
                  <c:v>9314.713</c:v>
                </c:pt>
                <c:pt idx="72">
                  <c:v>9827.359</c:v>
                </c:pt>
                <c:pt idx="73">
                  <c:v>10169.124</c:v>
                </c:pt>
                <c:pt idx="74">
                  <c:v>10510.889</c:v>
                </c:pt>
                <c:pt idx="75">
                  <c:v>10681.771</c:v>
                </c:pt>
                <c:pt idx="76">
                  <c:v>1456.285</c:v>
                </c:pt>
                <c:pt idx="77">
                  <c:v>1710.083</c:v>
                </c:pt>
                <c:pt idx="78">
                  <c:v>1963.88</c:v>
                </c:pt>
                <c:pt idx="79">
                  <c:v>2471.474</c:v>
                </c:pt>
                <c:pt idx="80">
                  <c:v>3048.834</c:v>
                </c:pt>
                <c:pt idx="81">
                  <c:v>3333.494</c:v>
                </c:pt>
                <c:pt idx="82">
                  <c:v>3618.153</c:v>
                </c:pt>
                <c:pt idx="83">
                  <c:v>4190.717</c:v>
                </c:pt>
                <c:pt idx="84">
                  <c:v>4434.699</c:v>
                </c:pt>
                <c:pt idx="85">
                  <c:v>5410.627</c:v>
                </c:pt>
                <c:pt idx="86">
                  <c:v>5654.608</c:v>
                </c:pt>
                <c:pt idx="87">
                  <c:v>6142.572</c:v>
                </c:pt>
                <c:pt idx="88">
                  <c:v>6386.554</c:v>
                </c:pt>
                <c:pt idx="89">
                  <c:v>6630.536</c:v>
                </c:pt>
                <c:pt idx="90">
                  <c:v>7118.5</c:v>
                </c:pt>
                <c:pt idx="91">
                  <c:v>1887.65</c:v>
                </c:pt>
                <c:pt idx="92">
                  <c:v>2005.058</c:v>
                </c:pt>
                <c:pt idx="93">
                  <c:v>2063.762</c:v>
                </c:pt>
                <c:pt idx="94">
                  <c:v>2181.17</c:v>
                </c:pt>
                <c:pt idx="95">
                  <c:v>2239.874</c:v>
                </c:pt>
                <c:pt idx="96">
                  <c:v>2298.578</c:v>
                </c:pt>
                <c:pt idx="97">
                  <c:v>2357.282</c:v>
                </c:pt>
                <c:pt idx="98">
                  <c:v>2415.986</c:v>
                </c:pt>
                <c:pt idx="99">
                  <c:v>2533.394</c:v>
                </c:pt>
                <c:pt idx="100">
                  <c:v>2709.506</c:v>
                </c:pt>
                <c:pt idx="101">
                  <c:v>2768.21</c:v>
                </c:pt>
                <c:pt idx="102">
                  <c:v>2826.914</c:v>
                </c:pt>
                <c:pt idx="103">
                  <c:v>2944.322</c:v>
                </c:pt>
                <c:pt idx="104">
                  <c:v>3003.026</c:v>
                </c:pt>
                <c:pt idx="105">
                  <c:v>3061.73</c:v>
                </c:pt>
                <c:pt idx="106">
                  <c:v>-248.341</c:v>
                </c:pt>
                <c:pt idx="107">
                  <c:v>-189.637</c:v>
                </c:pt>
                <c:pt idx="108">
                  <c:v>-13.525</c:v>
                </c:pt>
                <c:pt idx="109">
                  <c:v>103.883</c:v>
                </c:pt>
                <c:pt idx="110">
                  <c:v>162.587</c:v>
                </c:pt>
                <c:pt idx="111">
                  <c:v>221.291</c:v>
                </c:pt>
                <c:pt idx="112">
                  <c:v>338.699</c:v>
                </c:pt>
                <c:pt idx="113">
                  <c:v>456.107</c:v>
                </c:pt>
                <c:pt idx="114">
                  <c:v>514.811</c:v>
                </c:pt>
                <c:pt idx="115">
                  <c:v>632.219</c:v>
                </c:pt>
                <c:pt idx="116">
                  <c:v>749.627</c:v>
                </c:pt>
                <c:pt idx="117">
                  <c:v>808.331</c:v>
                </c:pt>
                <c:pt idx="118">
                  <c:v>867.035</c:v>
                </c:pt>
                <c:pt idx="119">
                  <c:v>984.443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Sheet1!$J$2:$J$121</c:f>
              <c:numCache>
                <c:formatCode>General</c:formatCode>
                <c:ptCount val="120"/>
                <c:pt idx="0">
                  <c:v>2631.286</c:v>
                </c:pt>
                <c:pt idx="1">
                  <c:v>3157.045</c:v>
                </c:pt>
                <c:pt idx="2">
                  <c:v>3267.629</c:v>
                </c:pt>
                <c:pt idx="3">
                  <c:v>3346.119</c:v>
                </c:pt>
                <c:pt idx="4">
                  <c:v>3475.343</c:v>
                </c:pt>
                <c:pt idx="5">
                  <c:v>4610.724</c:v>
                </c:pt>
                <c:pt idx="6">
                  <c:v>4740.76</c:v>
                </c:pt>
                <c:pt idx="7">
                  <c:v>4980.037</c:v>
                </c:pt>
                <c:pt idx="8">
                  <c:v>5473.096</c:v>
                </c:pt>
                <c:pt idx="9">
                  <c:v>5585.9</c:v>
                </c:pt>
                <c:pt idx="10">
                  <c:v>5616.547</c:v>
                </c:pt>
                <c:pt idx="11">
                  <c:v>5601.204</c:v>
                </c:pt>
                <c:pt idx="12">
                  <c:v>5601.201</c:v>
                </c:pt>
                <c:pt idx="13">
                  <c:v>5603.553</c:v>
                </c:pt>
                <c:pt idx="14">
                  <c:v>5704.534</c:v>
                </c:pt>
                <c:pt idx="15">
                  <c:v>5834.066</c:v>
                </c:pt>
                <c:pt idx="16">
                  <c:v>1015.838</c:v>
                </c:pt>
                <c:pt idx="17">
                  <c:v>1025.857</c:v>
                </c:pt>
                <c:pt idx="18">
                  <c:v>1166.115</c:v>
                </c:pt>
                <c:pt idx="19">
                  <c:v>1178.996</c:v>
                </c:pt>
                <c:pt idx="20">
                  <c:v>1303.321</c:v>
                </c:pt>
                <c:pt idx="21">
                  <c:v>2316.65</c:v>
                </c:pt>
                <c:pt idx="22">
                  <c:v>2288.469</c:v>
                </c:pt>
                <c:pt idx="23">
                  <c:v>2236.127</c:v>
                </c:pt>
                <c:pt idx="24">
                  <c:v>2286.191</c:v>
                </c:pt>
                <c:pt idx="25">
                  <c:v>2317.106</c:v>
                </c:pt>
                <c:pt idx="26">
                  <c:v>2510.493</c:v>
                </c:pt>
                <c:pt idx="27">
                  <c:v>2806.341</c:v>
                </c:pt>
                <c:pt idx="28">
                  <c:v>3082.045</c:v>
                </c:pt>
                <c:pt idx="29">
                  <c:v>3233.86</c:v>
                </c:pt>
                <c:pt idx="30">
                  <c:v>3291.645</c:v>
                </c:pt>
                <c:pt idx="31">
                  <c:v>3343.47</c:v>
                </c:pt>
                <c:pt idx="32">
                  <c:v>4508.063</c:v>
                </c:pt>
                <c:pt idx="33">
                  <c:v>5118.38</c:v>
                </c:pt>
                <c:pt idx="34">
                  <c:v>5770.23</c:v>
                </c:pt>
                <c:pt idx="35">
                  <c:v>7579.239</c:v>
                </c:pt>
                <c:pt idx="36">
                  <c:v>8609.083</c:v>
                </c:pt>
                <c:pt idx="37">
                  <c:v>8550.115</c:v>
                </c:pt>
                <c:pt idx="38">
                  <c:v>8781.4</c:v>
                </c:pt>
                <c:pt idx="39">
                  <c:v>9156.468</c:v>
                </c:pt>
                <c:pt idx="40">
                  <c:v>9522.256</c:v>
                </c:pt>
                <c:pt idx="41">
                  <c:v>9582.275</c:v>
                </c:pt>
                <c:pt idx="42">
                  <c:v>9637.789</c:v>
                </c:pt>
                <c:pt idx="43">
                  <c:v>9674.157</c:v>
                </c:pt>
                <c:pt idx="44">
                  <c:v>9768.656</c:v>
                </c:pt>
                <c:pt idx="45">
                  <c:v>9770.109</c:v>
                </c:pt>
                <c:pt idx="46">
                  <c:v>9745.25</c:v>
                </c:pt>
                <c:pt idx="47">
                  <c:v>9756.678</c:v>
                </c:pt>
                <c:pt idx="48">
                  <c:v>1225.172</c:v>
                </c:pt>
                <c:pt idx="49">
                  <c:v>1237.902</c:v>
                </c:pt>
                <c:pt idx="50">
                  <c:v>2576.755</c:v>
                </c:pt>
                <c:pt idx="51">
                  <c:v>2863.782</c:v>
                </c:pt>
                <c:pt idx="52">
                  <c:v>3428.291</c:v>
                </c:pt>
                <c:pt idx="53">
                  <c:v>4311.843</c:v>
                </c:pt>
                <c:pt idx="54">
                  <c:v>4440.858</c:v>
                </c:pt>
                <c:pt idx="55">
                  <c:v>5350.588</c:v>
                </c:pt>
                <c:pt idx="56">
                  <c:v>5521.829</c:v>
                </c:pt>
                <c:pt idx="57">
                  <c:v>6306.997</c:v>
                </c:pt>
                <c:pt idx="58">
                  <c:v>6419.009</c:v>
                </c:pt>
                <c:pt idx="59">
                  <c:v>6491.314</c:v>
                </c:pt>
                <c:pt idx="60">
                  <c:v>6496.286</c:v>
                </c:pt>
                <c:pt idx="61">
                  <c:v>6506.824</c:v>
                </c:pt>
                <c:pt idx="62">
                  <c:v>4830.705</c:v>
                </c:pt>
                <c:pt idx="63">
                  <c:v>5264.485</c:v>
                </c:pt>
                <c:pt idx="64">
                  <c:v>6577.193</c:v>
                </c:pt>
                <c:pt idx="65">
                  <c:v>7910.022</c:v>
                </c:pt>
                <c:pt idx="66">
                  <c:v>8840.682</c:v>
                </c:pt>
                <c:pt idx="67">
                  <c:v>8762.587</c:v>
                </c:pt>
                <c:pt idx="68">
                  <c:v>9662.935</c:v>
                </c:pt>
                <c:pt idx="69">
                  <c:v>9811.793</c:v>
                </c:pt>
                <c:pt idx="70">
                  <c:v>9897.482</c:v>
                </c:pt>
                <c:pt idx="71">
                  <c:v>9866.431</c:v>
                </c:pt>
                <c:pt idx="72">
                  <c:v>9963.756</c:v>
                </c:pt>
                <c:pt idx="73">
                  <c:v>10065.325</c:v>
                </c:pt>
                <c:pt idx="74">
                  <c:v>10104.265</c:v>
                </c:pt>
                <c:pt idx="75">
                  <c:v>10105.254</c:v>
                </c:pt>
                <c:pt idx="76">
                  <c:v>1304.934</c:v>
                </c:pt>
                <c:pt idx="77">
                  <c:v>1310.362</c:v>
                </c:pt>
                <c:pt idx="78">
                  <c:v>1320.209</c:v>
                </c:pt>
                <c:pt idx="79">
                  <c:v>1639.836</c:v>
                </c:pt>
                <c:pt idx="80">
                  <c:v>2893.21</c:v>
                </c:pt>
                <c:pt idx="81">
                  <c:v>3009.145</c:v>
                </c:pt>
                <c:pt idx="82">
                  <c:v>3620.375</c:v>
                </c:pt>
                <c:pt idx="83">
                  <c:v>4575.279</c:v>
                </c:pt>
                <c:pt idx="84">
                  <c:v>4839.529</c:v>
                </c:pt>
                <c:pt idx="85">
                  <c:v>5822.33</c:v>
                </c:pt>
                <c:pt idx="86">
                  <c:v>6010.494</c:v>
                </c:pt>
                <c:pt idx="87">
                  <c:v>6637.757</c:v>
                </c:pt>
                <c:pt idx="88">
                  <c:v>6683.92</c:v>
                </c:pt>
                <c:pt idx="89">
                  <c:v>6687.015</c:v>
                </c:pt>
                <c:pt idx="90">
                  <c:v>6752.956</c:v>
                </c:pt>
                <c:pt idx="91">
                  <c:v>2025.117</c:v>
                </c:pt>
                <c:pt idx="92">
                  <c:v>2222.741</c:v>
                </c:pt>
                <c:pt idx="93">
                  <c:v>2129.214</c:v>
                </c:pt>
                <c:pt idx="94">
                  <c:v>2096.567</c:v>
                </c:pt>
                <c:pt idx="95">
                  <c:v>2168.494</c:v>
                </c:pt>
                <c:pt idx="96">
                  <c:v>2166.335</c:v>
                </c:pt>
                <c:pt idx="97">
                  <c:v>2271.518</c:v>
                </c:pt>
                <c:pt idx="98">
                  <c:v>2434.032</c:v>
                </c:pt>
                <c:pt idx="99">
                  <c:v>2200.483</c:v>
                </c:pt>
                <c:pt idx="100">
                  <c:v>2418.298</c:v>
                </c:pt>
                <c:pt idx="101">
                  <c:v>2435.382</c:v>
                </c:pt>
                <c:pt idx="102">
                  <c:v>2401.092</c:v>
                </c:pt>
                <c:pt idx="103">
                  <c:v>2331.613</c:v>
                </c:pt>
                <c:pt idx="104">
                  <c:v>2497.817</c:v>
                </c:pt>
                <c:pt idx="105">
                  <c:v>2616.204</c:v>
                </c:pt>
                <c:pt idx="106">
                  <c:v>521.506</c:v>
                </c:pt>
                <c:pt idx="107">
                  <c:v>554.084</c:v>
                </c:pt>
                <c:pt idx="108">
                  <c:v>589.276</c:v>
                </c:pt>
                <c:pt idx="109">
                  <c:v>627.029</c:v>
                </c:pt>
                <c:pt idx="110">
                  <c:v>733.911</c:v>
                </c:pt>
                <c:pt idx="111">
                  <c:v>737.842</c:v>
                </c:pt>
                <c:pt idx="112">
                  <c:v>748.119</c:v>
                </c:pt>
                <c:pt idx="113">
                  <c:v>684.599</c:v>
                </c:pt>
                <c:pt idx="114">
                  <c:v>724.568</c:v>
                </c:pt>
                <c:pt idx="115">
                  <c:v>785.144</c:v>
                </c:pt>
                <c:pt idx="116">
                  <c:v>804.936</c:v>
                </c:pt>
                <c:pt idx="117">
                  <c:v>761.595</c:v>
                </c:pt>
                <c:pt idx="118">
                  <c:v>859.326</c:v>
                </c:pt>
                <c:pt idx="119">
                  <c:v>1069.075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Sheet1!$K$2:$K$121</c:f>
              <c:numCache>
                <c:formatCode>General</c:formatCode>
                <c:ptCount val="120"/>
                <c:pt idx="0">
                  <c:v>2405</c:v>
                </c:pt>
                <c:pt idx="1">
                  <c:v>3296.25</c:v>
                </c:pt>
                <c:pt idx="2">
                  <c:v>3296.25</c:v>
                </c:pt>
                <c:pt idx="3">
                  <c:v>3296.25</c:v>
                </c:pt>
                <c:pt idx="4">
                  <c:v>3296.25</c:v>
                </c:pt>
                <c:pt idx="5">
                  <c:v>4858</c:v>
                </c:pt>
                <c:pt idx="6">
                  <c:v>4858</c:v>
                </c:pt>
                <c:pt idx="7">
                  <c:v>4858</c:v>
                </c:pt>
                <c:pt idx="8">
                  <c:v>5510</c:v>
                </c:pt>
                <c:pt idx="9">
                  <c:v>5658.5</c:v>
                </c:pt>
                <c:pt idx="10">
                  <c:v>5658.5</c:v>
                </c:pt>
                <c:pt idx="11">
                  <c:v>5770.4</c:v>
                </c:pt>
                <c:pt idx="12">
                  <c:v>5770.4</c:v>
                </c:pt>
                <c:pt idx="13">
                  <c:v>5770.4</c:v>
                </c:pt>
                <c:pt idx="14">
                  <c:v>5770.4</c:v>
                </c:pt>
                <c:pt idx="15">
                  <c:v>5770.4</c:v>
                </c:pt>
                <c:pt idx="16">
                  <c:v>995.25</c:v>
                </c:pt>
                <c:pt idx="17">
                  <c:v>995.25</c:v>
                </c:pt>
                <c:pt idx="18">
                  <c:v>995.25</c:v>
                </c:pt>
                <c:pt idx="19">
                  <c:v>995.25</c:v>
                </c:pt>
                <c:pt idx="20">
                  <c:v>1220</c:v>
                </c:pt>
                <c:pt idx="21">
                  <c:v>2235.333</c:v>
                </c:pt>
                <c:pt idx="22">
                  <c:v>2235.333</c:v>
                </c:pt>
                <c:pt idx="23">
                  <c:v>2235.333</c:v>
                </c:pt>
                <c:pt idx="24">
                  <c:v>2235.333</c:v>
                </c:pt>
                <c:pt idx="25">
                  <c:v>2235.333</c:v>
                </c:pt>
                <c:pt idx="26">
                  <c:v>2235.333</c:v>
                </c:pt>
                <c:pt idx="27">
                  <c:v>2776</c:v>
                </c:pt>
                <c:pt idx="28">
                  <c:v>3286.75</c:v>
                </c:pt>
                <c:pt idx="29">
                  <c:v>3286.75</c:v>
                </c:pt>
                <c:pt idx="30">
                  <c:v>3286.75</c:v>
                </c:pt>
                <c:pt idx="31">
                  <c:v>3286.75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8808.333</c:v>
                </c:pt>
                <c:pt idx="37">
                  <c:v>8808.333</c:v>
                </c:pt>
                <c:pt idx="38">
                  <c:v>8808.333</c:v>
                </c:pt>
                <c:pt idx="39">
                  <c:v>9631</c:v>
                </c:pt>
                <c:pt idx="40">
                  <c:v>9631</c:v>
                </c:pt>
                <c:pt idx="41">
                  <c:v>9631</c:v>
                </c:pt>
                <c:pt idx="42">
                  <c:v>9631</c:v>
                </c:pt>
                <c:pt idx="43">
                  <c:v>9631</c:v>
                </c:pt>
                <c:pt idx="44">
                  <c:v>9849.5</c:v>
                </c:pt>
                <c:pt idx="45">
                  <c:v>9849.5</c:v>
                </c:pt>
                <c:pt idx="46">
                  <c:v>9849.5</c:v>
                </c:pt>
                <c:pt idx="47">
                  <c:v>9849.5</c:v>
                </c:pt>
                <c:pt idx="48">
                  <c:v>1007.5</c:v>
                </c:pt>
                <c:pt idx="49">
                  <c:v>1007.5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4348</c:v>
                </c:pt>
                <c:pt idx="54">
                  <c:v>4348</c:v>
                </c:pt>
                <c:pt idx="55">
                  <c:v>5315.5</c:v>
                </c:pt>
                <c:pt idx="56">
                  <c:v>5315.5</c:v>
                </c:pt>
                <c:pt idx="57">
                  <c:v>6379.8</c:v>
                </c:pt>
                <c:pt idx="58">
                  <c:v>6379.8</c:v>
                </c:pt>
                <c:pt idx="59">
                  <c:v>6379.8</c:v>
                </c:pt>
                <c:pt idx="60">
                  <c:v>6379.8</c:v>
                </c:pt>
                <c:pt idx="61">
                  <c:v>6379.8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9074</c:v>
                </c:pt>
                <c:pt idx="67">
                  <c:v>9074</c:v>
                </c:pt>
                <c:pt idx="68">
                  <c:v>9902</c:v>
                </c:pt>
                <c:pt idx="69">
                  <c:v>9902</c:v>
                </c:pt>
                <c:pt idx="70">
                  <c:v>9902</c:v>
                </c:pt>
                <c:pt idx="71">
                  <c:v>9902</c:v>
                </c:pt>
                <c:pt idx="72">
                  <c:v>9902</c:v>
                </c:pt>
                <c:pt idx="73">
                  <c:v>10150.667</c:v>
                </c:pt>
                <c:pt idx="74">
                  <c:v>10150.667</c:v>
                </c:pt>
                <c:pt idx="75">
                  <c:v>10150.667</c:v>
                </c:pt>
                <c:pt idx="76">
                  <c:v>1250.333</c:v>
                </c:pt>
                <c:pt idx="77">
                  <c:v>1250.333</c:v>
                </c:pt>
                <c:pt idx="78">
                  <c:v>1250.333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4648</c:v>
                </c:pt>
                <c:pt idx="84">
                  <c:v>4648</c:v>
                </c:pt>
                <c:pt idx="85">
                  <c:v>5621</c:v>
                </c:pt>
                <c:pt idx="86">
                  <c:v>5967</c:v>
                </c:pt>
                <c:pt idx="87">
                  <c:v>6675.5</c:v>
                </c:pt>
                <c:pt idx="88">
                  <c:v>6675.5</c:v>
                </c:pt>
                <c:pt idx="89">
                  <c:v>6675.5</c:v>
                </c:pt>
                <c:pt idx="90">
                  <c:v>6675.5</c:v>
                </c:pt>
                <c:pt idx="91">
                  <c:v>2150.556</c:v>
                </c:pt>
                <c:pt idx="92">
                  <c:v>2150.556</c:v>
                </c:pt>
                <c:pt idx="93">
                  <c:v>2150.556</c:v>
                </c:pt>
                <c:pt idx="94">
                  <c:v>2150.556</c:v>
                </c:pt>
                <c:pt idx="95">
                  <c:v>2150.556</c:v>
                </c:pt>
                <c:pt idx="96">
                  <c:v>2150.556</c:v>
                </c:pt>
                <c:pt idx="97">
                  <c:v>2150.556</c:v>
                </c:pt>
                <c:pt idx="98">
                  <c:v>2150.556</c:v>
                </c:pt>
                <c:pt idx="99">
                  <c:v>2150.556</c:v>
                </c:pt>
                <c:pt idx="100">
                  <c:v>2389.833</c:v>
                </c:pt>
                <c:pt idx="101">
                  <c:v>2389.833</c:v>
                </c:pt>
                <c:pt idx="102">
                  <c:v>2389.833</c:v>
                </c:pt>
                <c:pt idx="103">
                  <c:v>2389.833</c:v>
                </c:pt>
                <c:pt idx="104">
                  <c:v>2389.833</c:v>
                </c:pt>
                <c:pt idx="105">
                  <c:v>2389.833</c:v>
                </c:pt>
                <c:pt idx="106">
                  <c:v>576.333</c:v>
                </c:pt>
                <c:pt idx="107">
                  <c:v>576.333</c:v>
                </c:pt>
                <c:pt idx="108">
                  <c:v>576.333</c:v>
                </c:pt>
                <c:pt idx="109">
                  <c:v>576.333</c:v>
                </c:pt>
                <c:pt idx="110">
                  <c:v>576.333</c:v>
                </c:pt>
                <c:pt idx="111">
                  <c:v>576.333</c:v>
                </c:pt>
                <c:pt idx="112">
                  <c:v>576.333</c:v>
                </c:pt>
                <c:pt idx="113">
                  <c:v>576.333</c:v>
                </c:pt>
                <c:pt idx="114">
                  <c:v>576.333</c:v>
                </c:pt>
                <c:pt idx="115">
                  <c:v>760.6</c:v>
                </c:pt>
                <c:pt idx="116">
                  <c:v>760.6</c:v>
                </c:pt>
                <c:pt idx="117">
                  <c:v>760.6</c:v>
                </c:pt>
                <c:pt idx="118">
                  <c:v>760.6</c:v>
                </c:pt>
                <c:pt idx="119">
                  <c:v>760.6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Sheet1!$L$1</c:f>
              <c:strCache>
                <c:ptCount val="1"/>
                <c:pt idx="0">
                  <c:v>REP Tree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Sheet1!$L$2:$L$121</c:f>
              <c:numCache>
                <c:formatCode>General</c:formatCode>
                <c:ptCount val="120"/>
                <c:pt idx="0">
                  <c:v>3118</c:v>
                </c:pt>
                <c:pt idx="1">
                  <c:v>3118</c:v>
                </c:pt>
                <c:pt idx="2">
                  <c:v>3118</c:v>
                </c:pt>
                <c:pt idx="3">
                  <c:v>3118</c:v>
                </c:pt>
                <c:pt idx="4">
                  <c:v>3118</c:v>
                </c:pt>
                <c:pt idx="5">
                  <c:v>5477.545</c:v>
                </c:pt>
                <c:pt idx="6">
                  <c:v>5477.545</c:v>
                </c:pt>
                <c:pt idx="7">
                  <c:v>5477.545</c:v>
                </c:pt>
                <c:pt idx="8">
                  <c:v>5477.545</c:v>
                </c:pt>
                <c:pt idx="9">
                  <c:v>5477.545</c:v>
                </c:pt>
                <c:pt idx="10">
                  <c:v>5477.545</c:v>
                </c:pt>
                <c:pt idx="11">
                  <c:v>5477.545</c:v>
                </c:pt>
                <c:pt idx="12">
                  <c:v>5477.545</c:v>
                </c:pt>
                <c:pt idx="13">
                  <c:v>5477.545</c:v>
                </c:pt>
                <c:pt idx="14">
                  <c:v>5477.545</c:v>
                </c:pt>
                <c:pt idx="15">
                  <c:v>5477.545</c:v>
                </c:pt>
                <c:pt idx="16">
                  <c:v>1040.2</c:v>
                </c:pt>
                <c:pt idx="17">
                  <c:v>1040.2</c:v>
                </c:pt>
                <c:pt idx="18">
                  <c:v>1040.2</c:v>
                </c:pt>
                <c:pt idx="19">
                  <c:v>1040.2</c:v>
                </c:pt>
                <c:pt idx="20">
                  <c:v>1040.2</c:v>
                </c:pt>
                <c:pt idx="21">
                  <c:v>2218.2</c:v>
                </c:pt>
                <c:pt idx="22">
                  <c:v>2218.2</c:v>
                </c:pt>
                <c:pt idx="23">
                  <c:v>2218.2</c:v>
                </c:pt>
                <c:pt idx="24">
                  <c:v>2218.2</c:v>
                </c:pt>
                <c:pt idx="25">
                  <c:v>2218.2</c:v>
                </c:pt>
                <c:pt idx="26">
                  <c:v>3040.667</c:v>
                </c:pt>
                <c:pt idx="27">
                  <c:v>3040.667</c:v>
                </c:pt>
                <c:pt idx="28">
                  <c:v>3040.667</c:v>
                </c:pt>
                <c:pt idx="29">
                  <c:v>3040.667</c:v>
                </c:pt>
                <c:pt idx="30">
                  <c:v>3040.667</c:v>
                </c:pt>
                <c:pt idx="31">
                  <c:v>3040.667</c:v>
                </c:pt>
                <c:pt idx="32">
                  <c:v>5040.2</c:v>
                </c:pt>
                <c:pt idx="33">
                  <c:v>5040.2</c:v>
                </c:pt>
                <c:pt idx="34">
                  <c:v>5040.2</c:v>
                </c:pt>
                <c:pt idx="35">
                  <c:v>7248.667</c:v>
                </c:pt>
                <c:pt idx="36">
                  <c:v>8914.6</c:v>
                </c:pt>
                <c:pt idx="37">
                  <c:v>8914.6</c:v>
                </c:pt>
                <c:pt idx="38">
                  <c:v>8914.6</c:v>
                </c:pt>
                <c:pt idx="39">
                  <c:v>9853.824</c:v>
                </c:pt>
                <c:pt idx="40">
                  <c:v>9853.824</c:v>
                </c:pt>
                <c:pt idx="41">
                  <c:v>9853.824</c:v>
                </c:pt>
                <c:pt idx="42">
                  <c:v>9853.824</c:v>
                </c:pt>
                <c:pt idx="43">
                  <c:v>9853.824</c:v>
                </c:pt>
                <c:pt idx="44">
                  <c:v>9853.824</c:v>
                </c:pt>
                <c:pt idx="45">
                  <c:v>9853.824</c:v>
                </c:pt>
                <c:pt idx="46">
                  <c:v>9853.824</c:v>
                </c:pt>
                <c:pt idx="47">
                  <c:v>9853.824</c:v>
                </c:pt>
                <c:pt idx="48">
                  <c:v>1206.833</c:v>
                </c:pt>
                <c:pt idx="49">
                  <c:v>1206.833</c:v>
                </c:pt>
                <c:pt idx="50">
                  <c:v>2814.5</c:v>
                </c:pt>
                <c:pt idx="51">
                  <c:v>2814.5</c:v>
                </c:pt>
                <c:pt idx="52">
                  <c:v>2814.5</c:v>
                </c:pt>
                <c:pt idx="53">
                  <c:v>4498</c:v>
                </c:pt>
                <c:pt idx="54">
                  <c:v>4498</c:v>
                </c:pt>
                <c:pt idx="55">
                  <c:v>5417.333</c:v>
                </c:pt>
                <c:pt idx="56">
                  <c:v>5417.333</c:v>
                </c:pt>
                <c:pt idx="57">
                  <c:v>6456.8</c:v>
                </c:pt>
                <c:pt idx="58">
                  <c:v>6456.8</c:v>
                </c:pt>
                <c:pt idx="59">
                  <c:v>6456.8</c:v>
                </c:pt>
                <c:pt idx="60">
                  <c:v>6456.8</c:v>
                </c:pt>
                <c:pt idx="61">
                  <c:v>6456.8</c:v>
                </c:pt>
                <c:pt idx="62">
                  <c:v>5040.2</c:v>
                </c:pt>
                <c:pt idx="63">
                  <c:v>5040.2</c:v>
                </c:pt>
                <c:pt idx="64">
                  <c:v>7248.667</c:v>
                </c:pt>
                <c:pt idx="65">
                  <c:v>7248.667</c:v>
                </c:pt>
                <c:pt idx="66">
                  <c:v>8914.6</c:v>
                </c:pt>
                <c:pt idx="67">
                  <c:v>8914.6</c:v>
                </c:pt>
                <c:pt idx="68">
                  <c:v>9853.824</c:v>
                </c:pt>
                <c:pt idx="69">
                  <c:v>9853.824</c:v>
                </c:pt>
                <c:pt idx="70">
                  <c:v>9853.824</c:v>
                </c:pt>
                <c:pt idx="71">
                  <c:v>9853.824</c:v>
                </c:pt>
                <c:pt idx="72">
                  <c:v>9853.824</c:v>
                </c:pt>
                <c:pt idx="73">
                  <c:v>9853.824</c:v>
                </c:pt>
                <c:pt idx="74">
                  <c:v>9853.824</c:v>
                </c:pt>
                <c:pt idx="75">
                  <c:v>9853.824</c:v>
                </c:pt>
                <c:pt idx="76">
                  <c:v>1206.833</c:v>
                </c:pt>
                <c:pt idx="77">
                  <c:v>1206.833</c:v>
                </c:pt>
                <c:pt idx="78">
                  <c:v>1206.833</c:v>
                </c:pt>
                <c:pt idx="79">
                  <c:v>1206.833</c:v>
                </c:pt>
                <c:pt idx="80">
                  <c:v>2814.5</c:v>
                </c:pt>
                <c:pt idx="81">
                  <c:v>2814.5</c:v>
                </c:pt>
                <c:pt idx="82">
                  <c:v>2814.5</c:v>
                </c:pt>
                <c:pt idx="83">
                  <c:v>4498</c:v>
                </c:pt>
                <c:pt idx="84">
                  <c:v>4498</c:v>
                </c:pt>
                <c:pt idx="85">
                  <c:v>5417.333</c:v>
                </c:pt>
                <c:pt idx="86">
                  <c:v>6456.8</c:v>
                </c:pt>
                <c:pt idx="87">
                  <c:v>6456.8</c:v>
                </c:pt>
                <c:pt idx="88">
                  <c:v>6456.8</c:v>
                </c:pt>
                <c:pt idx="89">
                  <c:v>6456.8</c:v>
                </c:pt>
                <c:pt idx="90">
                  <c:v>6456.8</c:v>
                </c:pt>
                <c:pt idx="91">
                  <c:v>2141.5</c:v>
                </c:pt>
                <c:pt idx="92">
                  <c:v>2141.5</c:v>
                </c:pt>
                <c:pt idx="93">
                  <c:v>2141.5</c:v>
                </c:pt>
                <c:pt idx="94">
                  <c:v>2141.5</c:v>
                </c:pt>
                <c:pt idx="95">
                  <c:v>2141.5</c:v>
                </c:pt>
                <c:pt idx="96">
                  <c:v>2141.5</c:v>
                </c:pt>
                <c:pt idx="97">
                  <c:v>2141.5</c:v>
                </c:pt>
                <c:pt idx="98">
                  <c:v>2141.5</c:v>
                </c:pt>
                <c:pt idx="99">
                  <c:v>2366</c:v>
                </c:pt>
                <c:pt idx="100">
                  <c:v>2366</c:v>
                </c:pt>
                <c:pt idx="101">
                  <c:v>2366</c:v>
                </c:pt>
                <c:pt idx="102">
                  <c:v>2366</c:v>
                </c:pt>
                <c:pt idx="103">
                  <c:v>2366</c:v>
                </c:pt>
                <c:pt idx="104">
                  <c:v>2366</c:v>
                </c:pt>
                <c:pt idx="105">
                  <c:v>2366</c:v>
                </c:pt>
                <c:pt idx="106">
                  <c:v>540.333</c:v>
                </c:pt>
                <c:pt idx="107">
                  <c:v>540.333</c:v>
                </c:pt>
                <c:pt idx="108">
                  <c:v>540.333</c:v>
                </c:pt>
                <c:pt idx="109">
                  <c:v>540.333</c:v>
                </c:pt>
                <c:pt idx="110">
                  <c:v>540.333</c:v>
                </c:pt>
                <c:pt idx="111">
                  <c:v>540.333</c:v>
                </c:pt>
                <c:pt idx="112">
                  <c:v>718.5</c:v>
                </c:pt>
                <c:pt idx="113">
                  <c:v>718.5</c:v>
                </c:pt>
                <c:pt idx="114">
                  <c:v>718.5</c:v>
                </c:pt>
                <c:pt idx="115">
                  <c:v>718.5</c:v>
                </c:pt>
                <c:pt idx="116">
                  <c:v>718.5</c:v>
                </c:pt>
                <c:pt idx="117">
                  <c:v>718.5</c:v>
                </c:pt>
                <c:pt idx="118">
                  <c:v>718.5</c:v>
                </c:pt>
                <c:pt idx="119">
                  <c:v>718.5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Sheet1!$M$1</c:f>
              <c:strCache>
                <c:ptCount val="1"/>
                <c:pt idx="0">
                  <c:v>GP_PUK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Sheet1!$M$2:$M$121</c:f>
              <c:numCache>
                <c:formatCode>General</c:formatCode>
                <c:ptCount val="120"/>
                <c:pt idx="0">
                  <c:v>2659.25</c:v>
                </c:pt>
                <c:pt idx="1">
                  <c:v>2876.124</c:v>
                </c:pt>
                <c:pt idx="2">
                  <c:v>3126.861</c:v>
                </c:pt>
                <c:pt idx="3">
                  <c:v>3417.475</c:v>
                </c:pt>
                <c:pt idx="4">
                  <c:v>3750.723</c:v>
                </c:pt>
                <c:pt idx="5">
                  <c:v>4491.292</c:v>
                </c:pt>
                <c:pt idx="6">
                  <c:v>4841.062</c:v>
                </c:pt>
                <c:pt idx="7">
                  <c:v>5136.908</c:v>
                </c:pt>
                <c:pt idx="8">
                  <c:v>5361.993</c:v>
                </c:pt>
                <c:pt idx="9">
                  <c:v>5652.267</c:v>
                </c:pt>
                <c:pt idx="10">
                  <c:v>5675.669</c:v>
                </c:pt>
                <c:pt idx="11">
                  <c:v>5692.819</c:v>
                </c:pt>
                <c:pt idx="12">
                  <c:v>5714.898</c:v>
                </c:pt>
                <c:pt idx="13">
                  <c:v>5745.628</c:v>
                </c:pt>
                <c:pt idx="14">
                  <c:v>5843.71</c:v>
                </c:pt>
                <c:pt idx="15">
                  <c:v>5854.226</c:v>
                </c:pt>
                <c:pt idx="16">
                  <c:v>988.332</c:v>
                </c:pt>
                <c:pt idx="17">
                  <c:v>935.48</c:v>
                </c:pt>
                <c:pt idx="18">
                  <c:v>933.165</c:v>
                </c:pt>
                <c:pt idx="19">
                  <c:v>1132.399</c:v>
                </c:pt>
                <c:pt idx="20">
                  <c:v>1331.97</c:v>
                </c:pt>
                <c:pt idx="21">
                  <c:v>1985.853</c:v>
                </c:pt>
                <c:pt idx="22">
                  <c:v>2116.529</c:v>
                </c:pt>
                <c:pt idx="23">
                  <c:v>2202.47</c:v>
                </c:pt>
                <c:pt idx="24">
                  <c:v>2279.573</c:v>
                </c:pt>
                <c:pt idx="25">
                  <c:v>2387.259</c:v>
                </c:pt>
                <c:pt idx="26">
                  <c:v>2546.867</c:v>
                </c:pt>
                <c:pt idx="27">
                  <c:v>2750.059</c:v>
                </c:pt>
                <c:pt idx="28">
                  <c:v>2963.694</c:v>
                </c:pt>
                <c:pt idx="29">
                  <c:v>3334.438</c:v>
                </c:pt>
                <c:pt idx="30">
                  <c:v>3346.102</c:v>
                </c:pt>
                <c:pt idx="31">
                  <c:v>3332.756</c:v>
                </c:pt>
                <c:pt idx="32">
                  <c:v>4299.03</c:v>
                </c:pt>
                <c:pt idx="33">
                  <c:v>5079.277</c:v>
                </c:pt>
                <c:pt idx="34">
                  <c:v>5941.744</c:v>
                </c:pt>
                <c:pt idx="35">
                  <c:v>7612.104</c:v>
                </c:pt>
                <c:pt idx="36">
                  <c:v>8269.718</c:v>
                </c:pt>
                <c:pt idx="37">
                  <c:v>8752.305</c:v>
                </c:pt>
                <c:pt idx="38">
                  <c:v>9258.843</c:v>
                </c:pt>
                <c:pt idx="39">
                  <c:v>9374.747</c:v>
                </c:pt>
                <c:pt idx="40">
                  <c:v>9526.206</c:v>
                </c:pt>
                <c:pt idx="41">
                  <c:v>9644.551</c:v>
                </c:pt>
                <c:pt idx="42">
                  <c:v>9694.152</c:v>
                </c:pt>
                <c:pt idx="43">
                  <c:v>9740.924</c:v>
                </c:pt>
                <c:pt idx="44">
                  <c:v>9829.015</c:v>
                </c:pt>
                <c:pt idx="45">
                  <c:v>9856.814</c:v>
                </c:pt>
                <c:pt idx="46">
                  <c:v>9855.157</c:v>
                </c:pt>
                <c:pt idx="47">
                  <c:v>9808.521</c:v>
                </c:pt>
                <c:pt idx="48">
                  <c:v>955.346</c:v>
                </c:pt>
                <c:pt idx="49">
                  <c:v>1081.292</c:v>
                </c:pt>
                <c:pt idx="50">
                  <c:v>2208.944</c:v>
                </c:pt>
                <c:pt idx="51">
                  <c:v>2779.456</c:v>
                </c:pt>
                <c:pt idx="52">
                  <c:v>3368.947</c:v>
                </c:pt>
                <c:pt idx="53">
                  <c:v>3918.753</c:v>
                </c:pt>
                <c:pt idx="54">
                  <c:v>4386.694</c:v>
                </c:pt>
                <c:pt idx="55">
                  <c:v>5316.399</c:v>
                </c:pt>
                <c:pt idx="56">
                  <c:v>5561.608</c:v>
                </c:pt>
                <c:pt idx="57">
                  <c:v>6033.453</c:v>
                </c:pt>
                <c:pt idx="58">
                  <c:v>6362.54</c:v>
                </c:pt>
                <c:pt idx="59">
                  <c:v>6436.876</c:v>
                </c:pt>
                <c:pt idx="60">
                  <c:v>6454.639</c:v>
                </c:pt>
                <c:pt idx="61">
                  <c:v>6428.705</c:v>
                </c:pt>
                <c:pt idx="62">
                  <c:v>4621.077</c:v>
                </c:pt>
                <c:pt idx="63">
                  <c:v>5301.118</c:v>
                </c:pt>
                <c:pt idx="64">
                  <c:v>6954.13</c:v>
                </c:pt>
                <c:pt idx="65">
                  <c:v>7802.439</c:v>
                </c:pt>
                <c:pt idx="66">
                  <c:v>8558.433</c:v>
                </c:pt>
                <c:pt idx="67">
                  <c:v>9155.328</c:v>
                </c:pt>
                <c:pt idx="68">
                  <c:v>9885.361</c:v>
                </c:pt>
                <c:pt idx="69">
                  <c:v>9902.53</c:v>
                </c:pt>
                <c:pt idx="70">
                  <c:v>9892.718</c:v>
                </c:pt>
                <c:pt idx="71">
                  <c:v>9889.379</c:v>
                </c:pt>
                <c:pt idx="72">
                  <c:v>10010.907</c:v>
                </c:pt>
                <c:pt idx="73">
                  <c:v>10136.959</c:v>
                </c:pt>
                <c:pt idx="74">
                  <c:v>10166.26</c:v>
                </c:pt>
                <c:pt idx="75">
                  <c:v>10106.601</c:v>
                </c:pt>
                <c:pt idx="76">
                  <c:v>1272.41</c:v>
                </c:pt>
                <c:pt idx="77">
                  <c:v>1212.406</c:v>
                </c:pt>
                <c:pt idx="78">
                  <c:v>1223.915</c:v>
                </c:pt>
                <c:pt idx="79">
                  <c:v>1572.864</c:v>
                </c:pt>
                <c:pt idx="80">
                  <c:v>2448.442</c:v>
                </c:pt>
                <c:pt idx="81">
                  <c:v>3035.342</c:v>
                </c:pt>
                <c:pt idx="82">
                  <c:v>3646.811</c:v>
                </c:pt>
                <c:pt idx="83">
                  <c:v>4215.915</c:v>
                </c:pt>
                <c:pt idx="84">
                  <c:v>4692.146</c:v>
                </c:pt>
                <c:pt idx="85">
                  <c:v>5770.116</c:v>
                </c:pt>
                <c:pt idx="86">
                  <c:v>5997.442</c:v>
                </c:pt>
                <c:pt idx="87">
                  <c:v>6454.453</c:v>
                </c:pt>
                <c:pt idx="88">
                  <c:v>6630.315</c:v>
                </c:pt>
                <c:pt idx="89">
                  <c:v>6740.542</c:v>
                </c:pt>
                <c:pt idx="90">
                  <c:v>6757.037</c:v>
                </c:pt>
                <c:pt idx="91">
                  <c:v>2112.233</c:v>
                </c:pt>
                <c:pt idx="92">
                  <c:v>2104.629</c:v>
                </c:pt>
                <c:pt idx="93">
                  <c:v>2113.917</c:v>
                </c:pt>
                <c:pt idx="94">
                  <c:v>2139.4</c:v>
                </c:pt>
                <c:pt idx="95">
                  <c:v>2151.437</c:v>
                </c:pt>
                <c:pt idx="96">
                  <c:v>2162.726</c:v>
                </c:pt>
                <c:pt idx="97">
                  <c:v>2174.335</c:v>
                </c:pt>
                <c:pt idx="98">
                  <c:v>2187.638</c:v>
                </c:pt>
                <c:pt idx="99">
                  <c:v>2223.551</c:v>
                </c:pt>
                <c:pt idx="100">
                  <c:v>2300.741</c:v>
                </c:pt>
                <c:pt idx="101">
                  <c:v>2328.677</c:v>
                </c:pt>
                <c:pt idx="102">
                  <c:v>2356.017</c:v>
                </c:pt>
                <c:pt idx="103">
                  <c:v>2414.052</c:v>
                </c:pt>
                <c:pt idx="104">
                  <c:v>2452.272</c:v>
                </c:pt>
                <c:pt idx="105">
                  <c:v>2503.362</c:v>
                </c:pt>
                <c:pt idx="106">
                  <c:v>486.059</c:v>
                </c:pt>
                <c:pt idx="107">
                  <c:v>458.6</c:v>
                </c:pt>
                <c:pt idx="108">
                  <c:v>518.58</c:v>
                </c:pt>
                <c:pt idx="109">
                  <c:v>583.244</c:v>
                </c:pt>
                <c:pt idx="110">
                  <c:v>605.209</c:v>
                </c:pt>
                <c:pt idx="111">
                  <c:v>619.308</c:v>
                </c:pt>
                <c:pt idx="112">
                  <c:v>633.349</c:v>
                </c:pt>
                <c:pt idx="113">
                  <c:v>651.831</c:v>
                </c:pt>
                <c:pt idx="114">
                  <c:v>669.445</c:v>
                </c:pt>
                <c:pt idx="115">
                  <c:v>716.583</c:v>
                </c:pt>
                <c:pt idx="116">
                  <c:v>751.856</c:v>
                </c:pt>
                <c:pt idx="117">
                  <c:v>759.666</c:v>
                </c:pt>
                <c:pt idx="118">
                  <c:v>767.207</c:v>
                </c:pt>
                <c:pt idx="119">
                  <c:v>827.617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Sheet1!$N$1</c:f>
              <c:strCache>
                <c:ptCount val="1"/>
                <c:pt idx="0">
                  <c:v>GP_RBF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Sheet1!$N$2:$N$121</c:f>
              <c:numCache>
                <c:formatCode>General</c:formatCode>
                <c:ptCount val="120"/>
                <c:pt idx="0">
                  <c:v>2521.285</c:v>
                </c:pt>
                <c:pt idx="1">
                  <c:v>2878.83</c:v>
                </c:pt>
                <c:pt idx="2">
                  <c:v>3231.297</c:v>
                </c:pt>
                <c:pt idx="3">
                  <c:v>3573.393</c:v>
                </c:pt>
                <c:pt idx="4">
                  <c:v>3900.265</c:v>
                </c:pt>
                <c:pt idx="5">
                  <c:v>4491.902</c:v>
                </c:pt>
                <c:pt idx="6">
                  <c:v>4750.228</c:v>
                </c:pt>
                <c:pt idx="7">
                  <c:v>4980.585</c:v>
                </c:pt>
                <c:pt idx="8">
                  <c:v>5181.779</c:v>
                </c:pt>
                <c:pt idx="9">
                  <c:v>5610.529</c:v>
                </c:pt>
                <c:pt idx="10">
                  <c:v>5698.853</c:v>
                </c:pt>
                <c:pt idx="11">
                  <c:v>5763.233</c:v>
                </c:pt>
                <c:pt idx="12">
                  <c:v>5806.356</c:v>
                </c:pt>
                <c:pt idx="13">
                  <c:v>5831.178</c:v>
                </c:pt>
                <c:pt idx="14">
                  <c:v>5826.833</c:v>
                </c:pt>
                <c:pt idx="15">
                  <c:v>5809.076</c:v>
                </c:pt>
                <c:pt idx="16">
                  <c:v>835.157</c:v>
                </c:pt>
                <c:pt idx="17">
                  <c:v>915.286</c:v>
                </c:pt>
                <c:pt idx="18">
                  <c:v>1013.244</c:v>
                </c:pt>
                <c:pt idx="19">
                  <c:v>1254.963</c:v>
                </c:pt>
                <c:pt idx="20">
                  <c:v>1394.298</c:v>
                </c:pt>
                <c:pt idx="21">
                  <c:v>1856.846</c:v>
                </c:pt>
                <c:pt idx="22">
                  <c:v>2017.562</c:v>
                </c:pt>
                <c:pt idx="23">
                  <c:v>2177.579</c:v>
                </c:pt>
                <c:pt idx="24">
                  <c:v>2334.754</c:v>
                </c:pt>
                <c:pt idx="25">
                  <c:v>2487.17</c:v>
                </c:pt>
                <c:pt idx="26">
                  <c:v>2633.175</c:v>
                </c:pt>
                <c:pt idx="27">
                  <c:v>2771.405</c:v>
                </c:pt>
                <c:pt idx="28">
                  <c:v>2900.801</c:v>
                </c:pt>
                <c:pt idx="29">
                  <c:v>3229.991</c:v>
                </c:pt>
                <c:pt idx="30">
                  <c:v>3319.506</c:v>
                </c:pt>
                <c:pt idx="31">
                  <c:v>3399.284</c:v>
                </c:pt>
                <c:pt idx="32">
                  <c:v>4615.366</c:v>
                </c:pt>
                <c:pt idx="33">
                  <c:v>5350.172</c:v>
                </c:pt>
                <c:pt idx="34">
                  <c:v>6049.757</c:v>
                </c:pt>
                <c:pt idx="35">
                  <c:v>7307.687</c:v>
                </c:pt>
                <c:pt idx="36">
                  <c:v>7852.031</c:v>
                </c:pt>
                <c:pt idx="37">
                  <c:v>8333.471</c:v>
                </c:pt>
                <c:pt idx="38">
                  <c:v>9099.06</c:v>
                </c:pt>
                <c:pt idx="39">
                  <c:v>9383.402</c:v>
                </c:pt>
                <c:pt idx="40">
                  <c:v>9767.938</c:v>
                </c:pt>
                <c:pt idx="41">
                  <c:v>9939.44</c:v>
                </c:pt>
                <c:pt idx="42">
                  <c:v>9960.939</c:v>
                </c:pt>
                <c:pt idx="43">
                  <c:v>9948.974</c:v>
                </c:pt>
                <c:pt idx="44">
                  <c:v>9853.047</c:v>
                </c:pt>
                <c:pt idx="45">
                  <c:v>9782.457</c:v>
                </c:pt>
                <c:pt idx="46">
                  <c:v>9704.691</c:v>
                </c:pt>
                <c:pt idx="47">
                  <c:v>9624.656</c:v>
                </c:pt>
                <c:pt idx="48">
                  <c:v>764.091</c:v>
                </c:pt>
                <c:pt idx="49">
                  <c:v>1172.295</c:v>
                </c:pt>
                <c:pt idx="50">
                  <c:v>2485.26</c:v>
                </c:pt>
                <c:pt idx="51">
                  <c:v>2930.72</c:v>
                </c:pt>
                <c:pt idx="52">
                  <c:v>3369.292</c:v>
                </c:pt>
                <c:pt idx="53">
                  <c:v>3794.851</c:v>
                </c:pt>
                <c:pt idx="54">
                  <c:v>4201.714</c:v>
                </c:pt>
                <c:pt idx="55">
                  <c:v>5262.366</c:v>
                </c:pt>
                <c:pt idx="56">
                  <c:v>5550.353</c:v>
                </c:pt>
                <c:pt idx="57">
                  <c:v>6014.52</c:v>
                </c:pt>
                <c:pt idx="58">
                  <c:v>6325.81</c:v>
                </c:pt>
                <c:pt idx="59">
                  <c:v>6425.631</c:v>
                </c:pt>
                <c:pt idx="60">
                  <c:v>6490.418</c:v>
                </c:pt>
                <c:pt idx="61">
                  <c:v>6522.515</c:v>
                </c:pt>
                <c:pt idx="62">
                  <c:v>4925.688</c:v>
                </c:pt>
                <c:pt idx="63">
                  <c:v>5648.856</c:v>
                </c:pt>
                <c:pt idx="64">
                  <c:v>6992.351</c:v>
                </c:pt>
                <c:pt idx="65">
                  <c:v>7595.407</c:v>
                </c:pt>
                <c:pt idx="66">
                  <c:v>8143.473</c:v>
                </c:pt>
                <c:pt idx="67">
                  <c:v>8631.63</c:v>
                </c:pt>
                <c:pt idx="68">
                  <c:v>9712.954</c:v>
                </c:pt>
                <c:pt idx="69">
                  <c:v>9946.124</c:v>
                </c:pt>
                <c:pt idx="70">
                  <c:v>10119.7</c:v>
                </c:pt>
                <c:pt idx="71">
                  <c:v>10238.043</c:v>
                </c:pt>
                <c:pt idx="72">
                  <c:v>10318.382</c:v>
                </c:pt>
                <c:pt idx="73">
                  <c:v>10207.574</c:v>
                </c:pt>
                <c:pt idx="74">
                  <c:v>10025.129</c:v>
                </c:pt>
                <c:pt idx="75">
                  <c:v>9920.935</c:v>
                </c:pt>
                <c:pt idx="76">
                  <c:v>850.865</c:v>
                </c:pt>
                <c:pt idx="77">
                  <c:v>1095.338</c:v>
                </c:pt>
                <c:pt idx="78">
                  <c:v>1376.995</c:v>
                </c:pt>
                <c:pt idx="79">
                  <c:v>2035.333</c:v>
                </c:pt>
                <c:pt idx="80">
                  <c:v>2785.973</c:v>
                </c:pt>
                <c:pt idx="81">
                  <c:v>3181.119</c:v>
                </c:pt>
                <c:pt idx="82">
                  <c:v>3581.015</c:v>
                </c:pt>
                <c:pt idx="83">
                  <c:v>3979.234</c:v>
                </c:pt>
                <c:pt idx="84">
                  <c:v>4369.487</c:v>
                </c:pt>
                <c:pt idx="85">
                  <c:v>5738.574</c:v>
                </c:pt>
                <c:pt idx="86">
                  <c:v>6009.969</c:v>
                </c:pt>
                <c:pt idx="87">
                  <c:v>6446.245</c:v>
                </c:pt>
                <c:pt idx="88">
                  <c:v>6608.369</c:v>
                </c:pt>
                <c:pt idx="89">
                  <c:v>6732.73</c:v>
                </c:pt>
                <c:pt idx="90">
                  <c:v>6871.627</c:v>
                </c:pt>
                <c:pt idx="91">
                  <c:v>2061.251</c:v>
                </c:pt>
                <c:pt idx="92">
                  <c:v>2095.465</c:v>
                </c:pt>
                <c:pt idx="93">
                  <c:v>2113.5</c:v>
                </c:pt>
                <c:pt idx="94">
                  <c:v>2148.428</c:v>
                </c:pt>
                <c:pt idx="95">
                  <c:v>2164.614</c:v>
                </c:pt>
                <c:pt idx="96">
                  <c:v>2179.785</c:v>
                </c:pt>
                <c:pt idx="97">
                  <c:v>2194.052</c:v>
                </c:pt>
                <c:pt idx="98">
                  <c:v>2207.709</c:v>
                </c:pt>
                <c:pt idx="99">
                  <c:v>2235.166</c:v>
                </c:pt>
                <c:pt idx="100">
                  <c:v>2287.153</c:v>
                </c:pt>
                <c:pt idx="101">
                  <c:v>2310.574</c:v>
                </c:pt>
                <c:pt idx="102">
                  <c:v>2338.377</c:v>
                </c:pt>
                <c:pt idx="103">
                  <c:v>2409.859</c:v>
                </c:pt>
                <c:pt idx="104">
                  <c:v>2454.6</c:v>
                </c:pt>
                <c:pt idx="105">
                  <c:v>2505.796</c:v>
                </c:pt>
                <c:pt idx="106">
                  <c:v>505.925</c:v>
                </c:pt>
                <c:pt idx="107">
                  <c:v>497.837</c:v>
                </c:pt>
                <c:pt idx="108">
                  <c:v>515.563</c:v>
                </c:pt>
                <c:pt idx="109">
                  <c:v>549.66</c:v>
                </c:pt>
                <c:pt idx="110">
                  <c:v>569.751</c:v>
                </c:pt>
                <c:pt idx="111">
                  <c:v>590.494</c:v>
                </c:pt>
                <c:pt idx="112">
                  <c:v>630.851</c:v>
                </c:pt>
                <c:pt idx="113">
                  <c:v>666.683</c:v>
                </c:pt>
                <c:pt idx="114">
                  <c:v>682.636</c:v>
                </c:pt>
                <c:pt idx="115">
                  <c:v>712.068</c:v>
                </c:pt>
                <c:pt idx="116">
                  <c:v>742.447</c:v>
                </c:pt>
                <c:pt idx="117">
                  <c:v>760.148</c:v>
                </c:pt>
                <c:pt idx="118">
                  <c:v>780.866</c:v>
                </c:pt>
                <c:pt idx="119">
                  <c:v>835.561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2944"/>
        <c:axId val="56724864"/>
      </c:scatterChart>
      <c:valAx>
        <c:axId val="56722944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724864"/>
        <c:crosses val="autoZero"/>
        <c:crossBetween val="midCat"/>
        <c:majorUnit val="2000"/>
      </c:valAx>
      <c:valAx>
        <c:axId val="56724864"/>
        <c:scaling>
          <c:orientation val="minMax"/>
          <c:max val="12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722944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818181818182"/>
          <c:y val="0.070633658868953"/>
          <c:w val="0.583181818181818"/>
          <c:h val="0.15807404042698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(Target)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{10159,10159,10159,6439.5,6439.5,6439.5,6439.5,3378,2147.25,2147.25,2147.25,450,450,450,450,2147.25,2147.25,2147.25,3378,3378,3378,6439.5,6439.5}</c:f>
              <c:numCache>
                <c:formatCode>General</c:formatCode>
                <c:ptCount val="23"/>
                <c:pt idx="0">
                  <c:v>10159</c:v>
                </c:pt>
                <c:pt idx="1">
                  <c:v>10159</c:v>
                </c:pt>
                <c:pt idx="2">
                  <c:v>10159</c:v>
                </c:pt>
                <c:pt idx="3">
                  <c:v>6439.5</c:v>
                </c:pt>
                <c:pt idx="4">
                  <c:v>6439.5</c:v>
                </c:pt>
                <c:pt idx="5">
                  <c:v>6439.5</c:v>
                </c:pt>
                <c:pt idx="6">
                  <c:v>6439.5</c:v>
                </c:pt>
                <c:pt idx="7">
                  <c:v>3378</c:v>
                </c:pt>
                <c:pt idx="8">
                  <c:v>2147.25</c:v>
                </c:pt>
                <c:pt idx="9">
                  <c:v>2147.25</c:v>
                </c:pt>
                <c:pt idx="10">
                  <c:v>2147.25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2147.25</c:v>
                </c:pt>
                <c:pt idx="16">
                  <c:v>2147.25</c:v>
                </c:pt>
                <c:pt idx="17">
                  <c:v>2147.25</c:v>
                </c:pt>
                <c:pt idx="18">
                  <c:v>3378</c:v>
                </c:pt>
                <c:pt idx="19">
                  <c:v>3378</c:v>
                </c:pt>
                <c:pt idx="20">
                  <c:v>3378</c:v>
                </c:pt>
                <c:pt idx="21">
                  <c:v>6439.5</c:v>
                </c:pt>
                <c:pt idx="22">
                  <c:v>6439.5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{4458.65}</c:f>
              <c:numCache>
                <c:formatCode>General</c:formatCode>
                <c:ptCount val="1"/>
                <c:pt idx="0">
                  <c:v>4458.65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{450,10159}</c:f>
              <c:numCache>
                <c:formatCode>General</c:formatCode>
                <c:ptCount val="2"/>
                <c:pt idx="0">
                  <c:v>450</c:v>
                </c:pt>
                <c:pt idx="1">
                  <c:v>10159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48256"/>
        <c:axId val="57820288"/>
      </c:scatterChart>
      <c:valAx>
        <c:axId val="5764825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820288"/>
        <c:crosses val="autoZero"/>
        <c:crossBetween val="midCat"/>
      </c:valAx>
      <c:valAx>
        <c:axId val="57820288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64825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(LR)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9975.50527471398,9975.50527471398,9975.50527471398,6559.42342942372,6559.42342942372,6559.42342942372,6559.42342942372,4414.4957963701,2485.71149969684,2485.71149969684,2485.71149969684,-2198.936097478,-2198.936097478,-2198.936097478,-2198.936097478,2485.71149969684,2485.71149969684,2485.71149969684,4414.4957963701,4414.4957963701,4414.4957963701,6559.42342942372,6559.42342942372}</c:f>
              <c:numCache>
                <c:formatCode>General</c:formatCode>
                <c:ptCount val="23"/>
                <c:pt idx="0">
                  <c:v>9975.50527471398</c:v>
                </c:pt>
                <c:pt idx="1">
                  <c:v>9975.50527471398</c:v>
                </c:pt>
                <c:pt idx="2">
                  <c:v>9975.50527471398</c:v>
                </c:pt>
                <c:pt idx="3">
                  <c:v>6559.42342942372</c:v>
                </c:pt>
                <c:pt idx="4">
                  <c:v>6559.42342942372</c:v>
                </c:pt>
                <c:pt idx="5">
                  <c:v>6559.42342942372</c:v>
                </c:pt>
                <c:pt idx="6">
                  <c:v>6559.42342942372</c:v>
                </c:pt>
                <c:pt idx="7">
                  <c:v>4414.4957963701</c:v>
                </c:pt>
                <c:pt idx="8">
                  <c:v>2485.71149969684</c:v>
                </c:pt>
                <c:pt idx="9">
                  <c:v>2485.71149969684</c:v>
                </c:pt>
                <c:pt idx="10">
                  <c:v>2485.71149969684</c:v>
                </c:pt>
                <c:pt idx="11">
                  <c:v>-2198.936097478</c:v>
                </c:pt>
                <c:pt idx="12">
                  <c:v>-2198.936097478</c:v>
                </c:pt>
                <c:pt idx="13">
                  <c:v>-2198.936097478</c:v>
                </c:pt>
                <c:pt idx="14">
                  <c:v>-2198.936097478</c:v>
                </c:pt>
                <c:pt idx="15">
                  <c:v>2485.71149969684</c:v>
                </c:pt>
                <c:pt idx="16">
                  <c:v>2485.71149969684</c:v>
                </c:pt>
                <c:pt idx="17">
                  <c:v>2485.71149969684</c:v>
                </c:pt>
                <c:pt idx="18">
                  <c:v>4414.4957963701</c:v>
                </c:pt>
                <c:pt idx="19">
                  <c:v>4414.4957963701</c:v>
                </c:pt>
                <c:pt idx="20">
                  <c:v>4414.4957963701</c:v>
                </c:pt>
                <c:pt idx="21">
                  <c:v>6559.42342942372</c:v>
                </c:pt>
                <c:pt idx="22">
                  <c:v>6559.42342942372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{4458.65}</c:f>
              <c:numCache>
                <c:formatCode>General</c:formatCode>
                <c:ptCount val="1"/>
                <c:pt idx="0">
                  <c:v>4458.65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{-2198.936097478,9975.50527471398}</c:f>
              <c:numCache>
                <c:formatCode>General</c:formatCode>
                <c:ptCount val="2"/>
                <c:pt idx="0">
                  <c:v>-2198.936097478</c:v>
                </c:pt>
                <c:pt idx="1">
                  <c:v>9975.50527471398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87968"/>
        <c:axId val="66391040"/>
      </c:scatterChart>
      <c:valAx>
        <c:axId val="6638796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391040"/>
        <c:crosses val="autoZero"/>
        <c:crossBetween val="midCat"/>
      </c:valAx>
      <c:valAx>
        <c:axId val="66391040"/>
        <c:scaling>
          <c:orientation val="minMax"/>
          <c:max val="10000"/>
          <c:min val="-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LR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3879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(NLR)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10713.5947414537,10713.5947414537,10713.5947414537,5687.47197656651,5687.47197656651,5687.47197656651,5687.47197656651,4026.64420738354,2331.46879420282,2331.46879420282,2331.46879420282,413.462438755946,413.462438755946,413.462438755946,413.462438755946,2331.46879420282,2331.46879420282,2331.46879420282,4026.64420738354,4026.64420738354,4026.64420738354,5687.47197656651,5687.47197656651}</c:f>
              <c:numCache>
                <c:formatCode>General</c:formatCode>
                <c:ptCount val="23"/>
                <c:pt idx="0">
                  <c:v>10713.5947414537</c:v>
                </c:pt>
                <c:pt idx="1">
                  <c:v>10713.5947414537</c:v>
                </c:pt>
                <c:pt idx="2">
                  <c:v>10713.5947414537</c:v>
                </c:pt>
                <c:pt idx="3">
                  <c:v>5687.47197656651</c:v>
                </c:pt>
                <c:pt idx="4">
                  <c:v>5687.47197656651</c:v>
                </c:pt>
                <c:pt idx="5">
                  <c:v>5687.47197656651</c:v>
                </c:pt>
                <c:pt idx="6">
                  <c:v>5687.47197656651</c:v>
                </c:pt>
                <c:pt idx="7">
                  <c:v>4026.64420738354</c:v>
                </c:pt>
                <c:pt idx="8">
                  <c:v>2331.46879420282</c:v>
                </c:pt>
                <c:pt idx="9">
                  <c:v>2331.46879420282</c:v>
                </c:pt>
                <c:pt idx="10">
                  <c:v>2331.46879420282</c:v>
                </c:pt>
                <c:pt idx="11">
                  <c:v>413.462438755946</c:v>
                </c:pt>
                <c:pt idx="12">
                  <c:v>413.462438755946</c:v>
                </c:pt>
                <c:pt idx="13">
                  <c:v>413.462438755946</c:v>
                </c:pt>
                <c:pt idx="14">
                  <c:v>413.462438755946</c:v>
                </c:pt>
                <c:pt idx="15">
                  <c:v>2331.46879420282</c:v>
                </c:pt>
                <c:pt idx="16">
                  <c:v>2331.46879420282</c:v>
                </c:pt>
                <c:pt idx="17">
                  <c:v>2331.46879420282</c:v>
                </c:pt>
                <c:pt idx="18">
                  <c:v>4026.64420738354</c:v>
                </c:pt>
                <c:pt idx="19">
                  <c:v>4026.64420738354</c:v>
                </c:pt>
                <c:pt idx="20">
                  <c:v>4026.64420738354</c:v>
                </c:pt>
                <c:pt idx="21">
                  <c:v>5687.47197656651</c:v>
                </c:pt>
                <c:pt idx="22">
                  <c:v>5687.47197656651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{4507.49040472595}</c:f>
              <c:numCache>
                <c:formatCode>General</c:formatCode>
                <c:ptCount val="1"/>
                <c:pt idx="0">
                  <c:v>4507.49040472595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{413.462438755946,11590.4915023129}</c:f>
              <c:numCache>
                <c:formatCode>General</c:formatCode>
                <c:ptCount val="2"/>
                <c:pt idx="0">
                  <c:v>413.462438755946</c:v>
                </c:pt>
                <c:pt idx="1">
                  <c:v>11590.4915023129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11840"/>
        <c:axId val="136251264"/>
      </c:scatterChart>
      <c:valAx>
        <c:axId val="136211840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251264"/>
        <c:crosses val="autoZero"/>
        <c:crossBetween val="midCat"/>
      </c:valAx>
      <c:valAx>
        <c:axId val="136251264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NLR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2118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(M5P)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{10681.771,10681.771,10681.771,6418.192,6418.192,6418.192,6418.192,3712.169,2176.16975,2176.16975,2176.16975,-248.341,-248.341,-248.341,-248.341,2176.16975,2176.16975,2176.16975,3712.169,3712.169,3712.169,6418.192,6418.192}</c:f>
              <c:numCache>
                <c:formatCode>General</c:formatCode>
                <c:ptCount val="23"/>
                <c:pt idx="0">
                  <c:v>10681.771</c:v>
                </c:pt>
                <c:pt idx="1">
                  <c:v>10681.771</c:v>
                </c:pt>
                <c:pt idx="2">
                  <c:v>10681.771</c:v>
                </c:pt>
                <c:pt idx="3">
                  <c:v>6418.192</c:v>
                </c:pt>
                <c:pt idx="4">
                  <c:v>6418.192</c:v>
                </c:pt>
                <c:pt idx="5">
                  <c:v>6418.192</c:v>
                </c:pt>
                <c:pt idx="6">
                  <c:v>6418.192</c:v>
                </c:pt>
                <c:pt idx="7">
                  <c:v>3712.169</c:v>
                </c:pt>
                <c:pt idx="8">
                  <c:v>2176.16975</c:v>
                </c:pt>
                <c:pt idx="9">
                  <c:v>2176.16975</c:v>
                </c:pt>
                <c:pt idx="10">
                  <c:v>2176.16975</c:v>
                </c:pt>
                <c:pt idx="11">
                  <c:v>-248.341</c:v>
                </c:pt>
                <c:pt idx="12">
                  <c:v>-248.341</c:v>
                </c:pt>
                <c:pt idx="13">
                  <c:v>-248.341</c:v>
                </c:pt>
                <c:pt idx="14">
                  <c:v>-248.341</c:v>
                </c:pt>
                <c:pt idx="15">
                  <c:v>2176.16975</c:v>
                </c:pt>
                <c:pt idx="16">
                  <c:v>2176.16975</c:v>
                </c:pt>
                <c:pt idx="17">
                  <c:v>2176.16975</c:v>
                </c:pt>
                <c:pt idx="18">
                  <c:v>3712.169</c:v>
                </c:pt>
                <c:pt idx="19">
                  <c:v>3712.169</c:v>
                </c:pt>
                <c:pt idx="20">
                  <c:v>3712.169</c:v>
                </c:pt>
                <c:pt idx="21">
                  <c:v>6418.192</c:v>
                </c:pt>
                <c:pt idx="22">
                  <c:v>6418.192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{4469.28486666667}</c:f>
              <c:numCache>
                <c:formatCode>General</c:formatCode>
                <c:ptCount val="1"/>
                <c:pt idx="0">
                  <c:v>4469.28486666667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{-248.341,10681.771}</c:f>
              <c:numCache>
                <c:formatCode>General</c:formatCode>
                <c:ptCount val="2"/>
                <c:pt idx="0">
                  <c:v>-248.341</c:v>
                </c:pt>
                <c:pt idx="1">
                  <c:v>10681.771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07616"/>
        <c:axId val="136617344"/>
      </c:scatterChart>
      <c:valAx>
        <c:axId val="13660761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617344"/>
        <c:crosses val="autoZero"/>
        <c:crossBetween val="midCat"/>
      </c:valAx>
      <c:valAx>
        <c:axId val="136617344"/>
        <c:scaling>
          <c:orientation val="minMax"/>
          <c:max val="12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M5P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6076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(RF)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{10105.254,10105.254,10105.254,6498.9205,6498.9205,6498.9205,6498.9205,3451.817,2192.48575,2192.48575,2192.48575,521.506,521.506,521.506,521.506,2192.48575,2192.48575,2192.48575,3451.817,3451.817,3451.817,6498.9205,6498.9205}</c:f>
              <c:numCache>
                <c:formatCode>General</c:formatCode>
                <c:ptCount val="23"/>
                <c:pt idx="0">
                  <c:v>10105.254</c:v>
                </c:pt>
                <c:pt idx="1">
                  <c:v>10105.254</c:v>
                </c:pt>
                <c:pt idx="2">
                  <c:v>10105.254</c:v>
                </c:pt>
                <c:pt idx="3">
                  <c:v>6498.9205</c:v>
                </c:pt>
                <c:pt idx="4">
                  <c:v>6498.9205</c:v>
                </c:pt>
                <c:pt idx="5">
                  <c:v>6498.9205</c:v>
                </c:pt>
                <c:pt idx="6">
                  <c:v>6498.9205</c:v>
                </c:pt>
                <c:pt idx="7">
                  <c:v>3451.817</c:v>
                </c:pt>
                <c:pt idx="8">
                  <c:v>2192.48575</c:v>
                </c:pt>
                <c:pt idx="9">
                  <c:v>2192.48575</c:v>
                </c:pt>
                <c:pt idx="10">
                  <c:v>2192.48575</c:v>
                </c:pt>
                <c:pt idx="11">
                  <c:v>521.506</c:v>
                </c:pt>
                <c:pt idx="12">
                  <c:v>521.506</c:v>
                </c:pt>
                <c:pt idx="13">
                  <c:v>521.506</c:v>
                </c:pt>
                <c:pt idx="14">
                  <c:v>521.506</c:v>
                </c:pt>
                <c:pt idx="15">
                  <c:v>2192.48575</c:v>
                </c:pt>
                <c:pt idx="16">
                  <c:v>2192.48575</c:v>
                </c:pt>
                <c:pt idx="17">
                  <c:v>2192.48575</c:v>
                </c:pt>
                <c:pt idx="18">
                  <c:v>3451.817</c:v>
                </c:pt>
                <c:pt idx="19">
                  <c:v>3451.817</c:v>
                </c:pt>
                <c:pt idx="20">
                  <c:v>3451.817</c:v>
                </c:pt>
                <c:pt idx="21">
                  <c:v>6498.9205</c:v>
                </c:pt>
                <c:pt idx="22">
                  <c:v>6498.9205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{4489.37790833333}</c:f>
              <c:numCache>
                <c:formatCode>General</c:formatCode>
                <c:ptCount val="1"/>
                <c:pt idx="0">
                  <c:v>4489.37790833333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{521.506,10105.254}</c:f>
              <c:numCache>
                <c:formatCode>General</c:formatCode>
                <c:ptCount val="2"/>
                <c:pt idx="0">
                  <c:v>521.506</c:v>
                </c:pt>
                <c:pt idx="1">
                  <c:v>10105.254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16896"/>
        <c:axId val="139313536"/>
      </c:scatterChart>
      <c:valAx>
        <c:axId val="13881689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313536"/>
        <c:crosses val="autoZero"/>
        <c:crossBetween val="midCat"/>
      </c:valAx>
      <c:valAx>
        <c:axId val="13931353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RF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8168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(RT)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{10150.667,10150.667,10150.667,6379.8,6379.8,6379.8,6379.8,3296.25,2150.556,2150.556,2150.556,576.332999999999,576.332999999999,576.332999999999,576.332999999999,2150.556,2150.556,2150.556,3296.25,3296.25,3296.25,6379.8,6379.8}</c:f>
              <c:numCache>
                <c:formatCode>General</c:formatCode>
                <c:ptCount val="23"/>
                <c:pt idx="0">
                  <c:v>10150.667</c:v>
                </c:pt>
                <c:pt idx="1">
                  <c:v>10150.667</c:v>
                </c:pt>
                <c:pt idx="2">
                  <c:v>10150.667</c:v>
                </c:pt>
                <c:pt idx="3">
                  <c:v>6379.8</c:v>
                </c:pt>
                <c:pt idx="4">
                  <c:v>6379.8</c:v>
                </c:pt>
                <c:pt idx="5">
                  <c:v>6379.8</c:v>
                </c:pt>
                <c:pt idx="6">
                  <c:v>6379.8</c:v>
                </c:pt>
                <c:pt idx="7">
                  <c:v>3296.25</c:v>
                </c:pt>
                <c:pt idx="8">
                  <c:v>2150.556</c:v>
                </c:pt>
                <c:pt idx="9">
                  <c:v>2150.556</c:v>
                </c:pt>
                <c:pt idx="10">
                  <c:v>2150.556</c:v>
                </c:pt>
                <c:pt idx="11">
                  <c:v>576.332999999999</c:v>
                </c:pt>
                <c:pt idx="12">
                  <c:v>576.332999999999</c:v>
                </c:pt>
                <c:pt idx="13">
                  <c:v>576.332999999999</c:v>
                </c:pt>
                <c:pt idx="14">
                  <c:v>576.332999999999</c:v>
                </c:pt>
                <c:pt idx="15">
                  <c:v>2150.556</c:v>
                </c:pt>
                <c:pt idx="16">
                  <c:v>2150.556</c:v>
                </c:pt>
                <c:pt idx="17">
                  <c:v>2150.556</c:v>
                </c:pt>
                <c:pt idx="18">
                  <c:v>3296.25</c:v>
                </c:pt>
                <c:pt idx="19">
                  <c:v>3296.25</c:v>
                </c:pt>
                <c:pt idx="20">
                  <c:v>3296.25</c:v>
                </c:pt>
                <c:pt idx="21">
                  <c:v>6379.8</c:v>
                </c:pt>
                <c:pt idx="22">
                  <c:v>6379.8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{4458.64996666667}</c:f>
              <c:numCache>
                <c:formatCode>General</c:formatCode>
                <c:ptCount val="1"/>
                <c:pt idx="0">
                  <c:v>4458.64996666667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{576.332999999999,10150.667}</c:f>
              <c:numCache>
                <c:formatCode>General</c:formatCode>
                <c:ptCount val="2"/>
                <c:pt idx="0">
                  <c:v>576.332999999999</c:v>
                </c:pt>
                <c:pt idx="1">
                  <c:v>10150.667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22816"/>
        <c:axId val="159524736"/>
      </c:scatterChart>
      <c:valAx>
        <c:axId val="15952281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9524736"/>
        <c:crosses val="autoZero"/>
        <c:crossBetween val="midCat"/>
      </c:valAx>
      <c:valAx>
        <c:axId val="15952473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95228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(REP Tree)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{9853.824,9853.824,9853.824,6456.8,6456.8,6456.8,6456.8,3118,2141.5,2141.5,2141.5,540.332999999999,540.332999999999,540.332999999999,540.332999999999,2141.5,2141.5,2141.5,3118,3118,3118,6456.8,6456.8}</c:f>
              <c:numCache>
                <c:formatCode>General</c:formatCode>
                <c:ptCount val="23"/>
                <c:pt idx="0">
                  <c:v>9853.824</c:v>
                </c:pt>
                <c:pt idx="1">
                  <c:v>9853.824</c:v>
                </c:pt>
                <c:pt idx="2">
                  <c:v>9853.824</c:v>
                </c:pt>
                <c:pt idx="3">
                  <c:v>6456.8</c:v>
                </c:pt>
                <c:pt idx="4">
                  <c:v>6456.8</c:v>
                </c:pt>
                <c:pt idx="5">
                  <c:v>6456.8</c:v>
                </c:pt>
                <c:pt idx="6">
                  <c:v>6456.8</c:v>
                </c:pt>
                <c:pt idx="7">
                  <c:v>3118</c:v>
                </c:pt>
                <c:pt idx="8">
                  <c:v>2141.5</c:v>
                </c:pt>
                <c:pt idx="9">
                  <c:v>2141.5</c:v>
                </c:pt>
                <c:pt idx="10">
                  <c:v>2141.5</c:v>
                </c:pt>
                <c:pt idx="11">
                  <c:v>540.332999999999</c:v>
                </c:pt>
                <c:pt idx="12">
                  <c:v>540.332999999999</c:v>
                </c:pt>
                <c:pt idx="13">
                  <c:v>540.332999999999</c:v>
                </c:pt>
                <c:pt idx="14">
                  <c:v>540.332999999999</c:v>
                </c:pt>
                <c:pt idx="15">
                  <c:v>2141.5</c:v>
                </c:pt>
                <c:pt idx="16">
                  <c:v>2141.5</c:v>
                </c:pt>
                <c:pt idx="17">
                  <c:v>2141.5</c:v>
                </c:pt>
                <c:pt idx="18">
                  <c:v>3118</c:v>
                </c:pt>
                <c:pt idx="19">
                  <c:v>3118</c:v>
                </c:pt>
                <c:pt idx="20">
                  <c:v>3118</c:v>
                </c:pt>
                <c:pt idx="21">
                  <c:v>6456.8</c:v>
                </c:pt>
                <c:pt idx="22">
                  <c:v>6456.8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{4458.65000833333}</c:f>
              <c:numCache>
                <c:formatCode>General</c:formatCode>
                <c:ptCount val="1"/>
                <c:pt idx="0">
                  <c:v>4458.65000833333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{540.332999999999,9853.824}</c:f>
              <c:numCache>
                <c:formatCode>General</c:formatCode>
                <c:ptCount val="2"/>
                <c:pt idx="0">
                  <c:v>540.332999999999</c:v>
                </c:pt>
                <c:pt idx="1">
                  <c:v>9853.824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85920"/>
        <c:axId val="67588096"/>
      </c:scatterChart>
      <c:valAx>
        <c:axId val="67585920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588096"/>
        <c:crosses val="autoZero"/>
        <c:crossBetween val="midCat"/>
      </c:valAx>
      <c:valAx>
        <c:axId val="67588096"/>
        <c:scaling>
          <c:orientation val="minMax"/>
          <c:max val="10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 Tree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5859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(GP_PUK)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{10166.26,10166.26,10166.26,6441.27025,6441.27025,6441.27025,6441.27025,3532.143,2133.68225,2133.68225,2133.68225,458.6,458.6,458.6,458.6,2133.68225,2133.68225,2133.68225,3532.143,3532.143,3532.143,6441.27025,6441.27025}</c:f>
              <c:numCache>
                <c:formatCode>General</c:formatCode>
                <c:ptCount val="23"/>
                <c:pt idx="0">
                  <c:v>10166.26</c:v>
                </c:pt>
                <c:pt idx="1">
                  <c:v>10166.26</c:v>
                </c:pt>
                <c:pt idx="2">
                  <c:v>10166.26</c:v>
                </c:pt>
                <c:pt idx="3">
                  <c:v>6441.27025</c:v>
                </c:pt>
                <c:pt idx="4">
                  <c:v>6441.27025</c:v>
                </c:pt>
                <c:pt idx="5">
                  <c:v>6441.27025</c:v>
                </c:pt>
                <c:pt idx="6">
                  <c:v>6441.27025</c:v>
                </c:pt>
                <c:pt idx="7">
                  <c:v>3532.143</c:v>
                </c:pt>
                <c:pt idx="8">
                  <c:v>2133.68225</c:v>
                </c:pt>
                <c:pt idx="9">
                  <c:v>2133.68225</c:v>
                </c:pt>
                <c:pt idx="10">
                  <c:v>2133.68225</c:v>
                </c:pt>
                <c:pt idx="11">
                  <c:v>458.6</c:v>
                </c:pt>
                <c:pt idx="12">
                  <c:v>458.6</c:v>
                </c:pt>
                <c:pt idx="13">
                  <c:v>458.6</c:v>
                </c:pt>
                <c:pt idx="14">
                  <c:v>458.6</c:v>
                </c:pt>
                <c:pt idx="15">
                  <c:v>2133.68225</c:v>
                </c:pt>
                <c:pt idx="16">
                  <c:v>2133.68225</c:v>
                </c:pt>
                <c:pt idx="17">
                  <c:v>2133.68225</c:v>
                </c:pt>
                <c:pt idx="18">
                  <c:v>3532.143</c:v>
                </c:pt>
                <c:pt idx="19">
                  <c:v>3532.143</c:v>
                </c:pt>
                <c:pt idx="20">
                  <c:v>3532.143</c:v>
                </c:pt>
                <c:pt idx="21">
                  <c:v>6441.27025</c:v>
                </c:pt>
                <c:pt idx="22">
                  <c:v>6441.27025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{4458.92956666667}</c:f>
              <c:numCache>
                <c:formatCode>General</c:formatCode>
                <c:ptCount val="1"/>
                <c:pt idx="0">
                  <c:v>4458.92956666667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{458.6,10166.26}</c:f>
              <c:numCache>
                <c:formatCode>General</c:formatCode>
                <c:ptCount val="2"/>
                <c:pt idx="0">
                  <c:v>458.6</c:v>
                </c:pt>
                <c:pt idx="1">
                  <c:v>10166.26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1632"/>
        <c:axId val="67623552"/>
      </c:scatterChart>
      <c:valAx>
        <c:axId val="67621632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623552"/>
        <c:crosses val="autoZero"/>
        <c:crossBetween val="midCat"/>
      </c:valAx>
      <c:valAx>
        <c:axId val="67623552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GP_PUK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6216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(GP_RBF)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{0.95,1.05,1,1,0.75,1.25,1.25,1.25,1.25,1.25,1,1,1.05,0.95,1,1,0.75,0.75,0.75,1.25,0.75,0.75,0.75}</c:f>
              <c:numCache>
                <c:formatCode>General</c:formatCode>
                <c:ptCount val="23"/>
                <c:pt idx="0">
                  <c:v>0.95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1.25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</c:numCache>
            </c:numRef>
          </c:xVal>
          <c:yVal>
            <c:numRef>
              <c:f>{10318.382,10318.382,10318.382,6457.28825,6457.28825,6457.28825,6457.28825,3577.204,2139.696,2139.696,2139.696,497.837,497.837,497.837,497.837,2139.696,2139.696,2139.696,3577.204,3577.204,3577.204,6457.28825,6457.28825}</c:f>
              <c:numCache>
                <c:formatCode>General</c:formatCode>
                <c:ptCount val="23"/>
                <c:pt idx="0">
                  <c:v>10318.382</c:v>
                </c:pt>
                <c:pt idx="1">
                  <c:v>10318.382</c:v>
                </c:pt>
                <c:pt idx="2">
                  <c:v>10318.382</c:v>
                </c:pt>
                <c:pt idx="3">
                  <c:v>6457.28825</c:v>
                </c:pt>
                <c:pt idx="4">
                  <c:v>6457.28825</c:v>
                </c:pt>
                <c:pt idx="5">
                  <c:v>6457.28825</c:v>
                </c:pt>
                <c:pt idx="6">
                  <c:v>6457.28825</c:v>
                </c:pt>
                <c:pt idx="7">
                  <c:v>3577.204</c:v>
                </c:pt>
                <c:pt idx="8">
                  <c:v>2139.696</c:v>
                </c:pt>
                <c:pt idx="9">
                  <c:v>2139.696</c:v>
                </c:pt>
                <c:pt idx="10">
                  <c:v>2139.696</c:v>
                </c:pt>
                <c:pt idx="11">
                  <c:v>497.837</c:v>
                </c:pt>
                <c:pt idx="12">
                  <c:v>497.837</c:v>
                </c:pt>
                <c:pt idx="13">
                  <c:v>497.837</c:v>
                </c:pt>
                <c:pt idx="14">
                  <c:v>497.837</c:v>
                </c:pt>
                <c:pt idx="15">
                  <c:v>2139.696</c:v>
                </c:pt>
                <c:pt idx="16">
                  <c:v>2139.696</c:v>
                </c:pt>
                <c:pt idx="17">
                  <c:v>2139.696</c:v>
                </c:pt>
                <c:pt idx="18">
                  <c:v>3577.204</c:v>
                </c:pt>
                <c:pt idx="19">
                  <c:v>3577.204</c:v>
                </c:pt>
                <c:pt idx="20">
                  <c:v>3577.204</c:v>
                </c:pt>
                <c:pt idx="21">
                  <c:v>6457.28825</c:v>
                </c:pt>
                <c:pt idx="22">
                  <c:v>6457.28825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{4459.295875}</c:f>
              <c:numCache>
                <c:formatCode>General</c:formatCode>
                <c:ptCount val="1"/>
                <c:pt idx="0">
                  <c:v>4459.295875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{497.837,10318.382}</c:f>
              <c:numCache>
                <c:formatCode>General</c:formatCode>
                <c:ptCount val="2"/>
                <c:pt idx="0">
                  <c:v>497.837</c:v>
                </c:pt>
                <c:pt idx="1">
                  <c:v>10318.382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4800"/>
        <c:axId val="67655168"/>
      </c:scatterChart>
      <c:valAx>
        <c:axId val="67644800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655168"/>
        <c:crosses val="autoZero"/>
        <c:crossBetween val="midCat"/>
      </c:valAx>
      <c:valAx>
        <c:axId val="67655168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GP_RBF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6448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Pred(Target) / Target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"Active"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3"/>
          </c:marker>
          <c:dLbls>
            <c:delete val="1"/>
          </c:dLbls>
          <c:xVal>
            <c:numRef>
              <c:f>'Nonlinear regression'!$I$64:$I$183</c:f>
              <c:numCache>
                <c:formatCode>0.0000</c:formatCode>
                <c:ptCount val="120"/>
                <c:pt idx="0">
                  <c:v>2543.92065185175</c:v>
                </c:pt>
                <c:pt idx="1">
                  <c:v>2958.4365695964</c:v>
                </c:pt>
                <c:pt idx="2">
                  <c:v>3292.88755680551</c:v>
                </c:pt>
                <c:pt idx="3">
                  <c:v>3578.13282256534</c:v>
                </c:pt>
                <c:pt idx="4">
                  <c:v>3829.44293507394</c:v>
                </c:pt>
                <c:pt idx="5">
                  <c:v>4262.36111329642</c:v>
                </c:pt>
                <c:pt idx="6">
                  <c:v>4453.42664758774</c:v>
                </c:pt>
                <c:pt idx="7">
                  <c:v>4631.58669648217</c:v>
                </c:pt>
                <c:pt idx="8">
                  <c:v>4798.88427421617</c:v>
                </c:pt>
                <c:pt idx="9">
                  <c:v>5249.68450086011</c:v>
                </c:pt>
                <c:pt idx="10">
                  <c:v>5386.27470481637</c:v>
                </c:pt>
                <c:pt idx="11">
                  <c:v>5517.2616576578</c:v>
                </c:pt>
                <c:pt idx="12">
                  <c:v>5643.20508587503</c:v>
                </c:pt>
                <c:pt idx="13">
                  <c:v>5764.579639036</c:v>
                </c:pt>
                <c:pt idx="14">
                  <c:v>6105.08767043615</c:v>
                </c:pt>
                <c:pt idx="15">
                  <c:v>6211.74496995946</c:v>
                </c:pt>
                <c:pt idx="16">
                  <c:v>1287.55077870771</c:v>
                </c:pt>
                <c:pt idx="17">
                  <c:v>1497.34910409587</c:v>
                </c:pt>
                <c:pt idx="18">
                  <c:v>1666.62428518582</c:v>
                </c:pt>
                <c:pt idx="19">
                  <c:v>1938.19026135196</c:v>
                </c:pt>
                <c:pt idx="20">
                  <c:v>2052.67724768879</c:v>
                </c:pt>
                <c:pt idx="21">
                  <c:v>2344.1780911551</c:v>
                </c:pt>
                <c:pt idx="22">
                  <c:v>2428.85216553338</c:v>
                </c:pt>
                <c:pt idx="23">
                  <c:v>2508.8214090647</c:v>
                </c:pt>
                <c:pt idx="24">
                  <c:v>2584.70905642568</c:v>
                </c:pt>
                <c:pt idx="25">
                  <c:v>2657.01501425844</c:v>
                </c:pt>
                <c:pt idx="26">
                  <c:v>2726.14721118436</c:v>
                </c:pt>
                <c:pt idx="27">
                  <c:v>2792.44344295117</c:v>
                </c:pt>
                <c:pt idx="28">
                  <c:v>2856.18700309569</c:v>
                </c:pt>
                <c:pt idx="29">
                  <c:v>3034.33790738792</c:v>
                </c:pt>
                <c:pt idx="30">
                  <c:v>3089.95894916261</c:v>
                </c:pt>
                <c:pt idx="31">
                  <c:v>3143.94124965462</c:v>
                </c:pt>
                <c:pt idx="32">
                  <c:v>4546.06496479233</c:v>
                </c:pt>
                <c:pt idx="33">
                  <c:v>5286.81774323926</c:v>
                </c:pt>
                <c:pt idx="34">
                  <c:v>5884.49201200421</c:v>
                </c:pt>
                <c:pt idx="35">
                  <c:v>6843.33308475602</c:v>
                </c:pt>
                <c:pt idx="36">
                  <c:v>7247.56201779501</c:v>
                </c:pt>
                <c:pt idx="37">
                  <c:v>7616.9712724119</c:v>
                </c:pt>
                <c:pt idx="38">
                  <c:v>8276.78882081063</c:v>
                </c:pt>
                <c:pt idx="39">
                  <c:v>8575.75477176415</c:v>
                </c:pt>
                <c:pt idx="40">
                  <c:v>9126.05194289249</c:v>
                </c:pt>
                <c:pt idx="41">
                  <c:v>9625.43965688905</c:v>
                </c:pt>
                <c:pt idx="42">
                  <c:v>9859.51739698047</c:v>
                </c:pt>
                <c:pt idx="43">
                  <c:v>10084.5822024206</c:v>
                </c:pt>
                <c:pt idx="44">
                  <c:v>10510.9439972029</c:v>
                </c:pt>
                <c:pt idx="45">
                  <c:v>10713.5947414537</c:v>
                </c:pt>
                <c:pt idx="46">
                  <c:v>10909.9806809434</c:v>
                </c:pt>
                <c:pt idx="47">
                  <c:v>11100.5805773078</c:v>
                </c:pt>
                <c:pt idx="48">
                  <c:v>2675.80920703581</c:v>
                </c:pt>
                <c:pt idx="49">
                  <c:v>2978.30919641311</c:v>
                </c:pt>
                <c:pt idx="50">
                  <c:v>3668.1977926284</c:v>
                </c:pt>
                <c:pt idx="51">
                  <c:v>3855.16634964592</c:v>
                </c:pt>
                <c:pt idx="52">
                  <c:v>4027.97888213624</c:v>
                </c:pt>
                <c:pt idx="53">
                  <c:v>4189.11882478598</c:v>
                </c:pt>
                <c:pt idx="54">
                  <c:v>4340.43401721429</c:v>
                </c:pt>
                <c:pt idx="55">
                  <c:v>4748.16809182122</c:v>
                </c:pt>
                <c:pt idx="56">
                  <c:v>4871.70946806473</c:v>
                </c:pt>
                <c:pt idx="57">
                  <c:v>5104.09460224989</c:v>
                </c:pt>
                <c:pt idx="58">
                  <c:v>5319.8884637776</c:v>
                </c:pt>
                <c:pt idx="59">
                  <c:v>5422.45578378259</c:v>
                </c:pt>
                <c:pt idx="60">
                  <c:v>5521.8523074647</c:v>
                </c:pt>
                <c:pt idx="61">
                  <c:v>5618.32034973913</c:v>
                </c:pt>
                <c:pt idx="62">
                  <c:v>4746.70013666682</c:v>
                </c:pt>
                <c:pt idx="63">
                  <c:v>5520.14515822318</c:v>
                </c:pt>
                <c:pt idx="64">
                  <c:v>6676.43605374243</c:v>
                </c:pt>
                <c:pt idx="65">
                  <c:v>7145.35545361524</c:v>
                </c:pt>
                <c:pt idx="66">
                  <c:v>7567.424549979</c:v>
                </c:pt>
                <c:pt idx="67">
                  <c:v>7953.13724281467</c:v>
                </c:pt>
                <c:pt idx="68">
                  <c:v>8954.23551190136</c:v>
                </c:pt>
                <c:pt idx="69">
                  <c:v>9249.05108382021</c:v>
                </c:pt>
                <c:pt idx="70">
                  <c:v>9528.81939436499</c:v>
                </c:pt>
                <c:pt idx="71">
                  <c:v>9795.38340535576</c:v>
                </c:pt>
                <c:pt idx="72">
                  <c:v>10529.653247189</c:v>
                </c:pt>
                <c:pt idx="73">
                  <c:v>10974.8320128328</c:v>
                </c:pt>
                <c:pt idx="74">
                  <c:v>11391.4797061489</c:v>
                </c:pt>
                <c:pt idx="75">
                  <c:v>11590.4915023129</c:v>
                </c:pt>
                <c:pt idx="76">
                  <c:v>1856.0055124343</c:v>
                </c:pt>
                <c:pt idx="77">
                  <c:v>2402.4402855524</c:v>
                </c:pt>
                <c:pt idx="78">
                  <c:v>2793.90286480682</c:v>
                </c:pt>
                <c:pt idx="79">
                  <c:v>3379.13465725866</c:v>
                </c:pt>
                <c:pt idx="80">
                  <c:v>3830.08934065806</c:v>
                </c:pt>
                <c:pt idx="81">
                  <c:v>4025.30953263084</c:v>
                </c:pt>
                <c:pt idx="82">
                  <c:v>4205.74894076565</c:v>
                </c:pt>
                <c:pt idx="83">
                  <c:v>4374.00060318617</c:v>
                </c:pt>
                <c:pt idx="84">
                  <c:v>4531.99391171603</c:v>
                </c:pt>
                <c:pt idx="85">
                  <c:v>5086.71657289444</c:v>
                </c:pt>
                <c:pt idx="86">
                  <c:v>5210.41867506454</c:v>
                </c:pt>
                <c:pt idx="87">
                  <c:v>5443.9820455934</c:v>
                </c:pt>
                <c:pt idx="88">
                  <c:v>5554.67541569085</c:v>
                </c:pt>
                <c:pt idx="89">
                  <c:v>5661.76942241001</c:v>
                </c:pt>
                <c:pt idx="90">
                  <c:v>5866.27823809882</c:v>
                </c:pt>
                <c:pt idx="91">
                  <c:v>1057.42262153918</c:v>
                </c:pt>
                <c:pt idx="92">
                  <c:v>1368.74308175314</c:v>
                </c:pt>
                <c:pt idx="93">
                  <c:v>1487.30998614218</c:v>
                </c:pt>
                <c:pt idx="94">
                  <c:v>1685.79553701444</c:v>
                </c:pt>
                <c:pt idx="95">
                  <c:v>1771.72077245719</c:v>
                </c:pt>
                <c:pt idx="96">
                  <c:v>1851.14031646263</c:v>
                </c:pt>
                <c:pt idx="97">
                  <c:v>1925.19548238078</c:v>
                </c:pt>
                <c:pt idx="98">
                  <c:v>1994.73548281117</c:v>
                </c:pt>
                <c:pt idx="99">
                  <c:v>2122.73556240236</c:v>
                </c:pt>
                <c:pt idx="100">
                  <c:v>2293.34090334596</c:v>
                </c:pt>
                <c:pt idx="101">
                  <c:v>2345.69136873258</c:v>
                </c:pt>
                <c:pt idx="102">
                  <c:v>2396.14270576552</c:v>
                </c:pt>
                <c:pt idx="103">
                  <c:v>2492.00077987311</c:v>
                </c:pt>
                <c:pt idx="104">
                  <c:v>2537.68049113481</c:v>
                </c:pt>
                <c:pt idx="105">
                  <c:v>2582.01435869712</c:v>
                </c:pt>
                <c:pt idx="106">
                  <c:v>413.462438755946</c:v>
                </c:pt>
                <c:pt idx="107">
                  <c:v>535.191739881854</c:v>
                </c:pt>
                <c:pt idx="108">
                  <c:v>752.769992823154</c:v>
                </c:pt>
                <c:pt idx="109">
                  <c:v>853.229189693849</c:v>
                </c:pt>
                <c:pt idx="110">
                  <c:v>896.718401405081</c:v>
                </c:pt>
                <c:pt idx="111">
                  <c:v>936.914897178009</c:v>
                </c:pt>
                <c:pt idx="112">
                  <c:v>1009.59250530865</c:v>
                </c:pt>
                <c:pt idx="113">
                  <c:v>1074.37699535645</c:v>
                </c:pt>
                <c:pt idx="114">
                  <c:v>1104.43216057112</c:v>
                </c:pt>
                <c:pt idx="115">
                  <c:v>1160.72522301195</c:v>
                </c:pt>
                <c:pt idx="116">
                  <c:v>1212.75614648494</c:v>
                </c:pt>
                <c:pt idx="117">
                  <c:v>1237.41531395399</c:v>
                </c:pt>
                <c:pt idx="118">
                  <c:v>1261.27265106727</c:v>
                </c:pt>
                <c:pt idx="119">
                  <c:v>1306.8310899379</c:v>
                </c:pt>
              </c:numCache>
            </c:numRef>
          </c:xVal>
          <c:yVal>
            <c:numRef>
              <c:f>'Nonlinear regression'!$H$64:$H$183</c:f>
              <c:numCache>
                <c:formatCode>0.0000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yVal>
          <c:smooth val="0"/>
        </c:ser>
        <c:ser>
          <c:idx val="1"/>
          <c:order val="1"/>
          <c:spPr>
            <a:ln w="12700" cap="rnd" cmpd="sng" algn="ctr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{0,12000}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{0,12000}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84544"/>
        <c:axId val="67886464"/>
      </c:scatterChart>
      <c:valAx>
        <c:axId val="67884544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Pred(Target)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886464"/>
        <c:crosses val="autoZero"/>
        <c:crossBetween val="midCat"/>
        <c:majorUnit val="2000"/>
      </c:valAx>
      <c:valAx>
        <c:axId val="67886464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884544"/>
        <c:crosses val="autoZero"/>
        <c:crossBetween val="midCat"/>
        <c:majorUnit val="2000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"Active"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00FF"/>
            </a:solidFill>
            <a:effectLst/>
          </c:spPr>
          <c:invertIfNegative val="0"/>
          <c:dLbls>
            <c:delete val="1"/>
          </c:dLbls>
          <c:cat>
            <c:strRef>
              <c:f>'Nonlinear regression'!$B$64:$B$183</c:f>
              <c:strCache>
                <c:ptCount val="120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</c:strCache>
            </c:strRef>
          </c:cat>
          <c:val>
            <c:numRef>
              <c:f>'Nonlinear regression'!$J$64:$J$183</c:f>
              <c:numCache>
                <c:formatCode>0.0000</c:formatCode>
                <c:ptCount val="120"/>
                <c:pt idx="0">
                  <c:v>-138.920651851745</c:v>
                </c:pt>
                <c:pt idx="1">
                  <c:v>242.5634304036</c:v>
                </c:pt>
                <c:pt idx="2">
                  <c:v>-32.88755680551</c:v>
                </c:pt>
                <c:pt idx="3">
                  <c:v>-276.132822565338</c:v>
                </c:pt>
                <c:pt idx="4">
                  <c:v>-407.442935073944</c:v>
                </c:pt>
                <c:pt idx="5">
                  <c:v>562.638886703577</c:v>
                </c:pt>
                <c:pt idx="6">
                  <c:v>411.573352412262</c:v>
                </c:pt>
                <c:pt idx="7">
                  <c:v>252.413303517834</c:v>
                </c:pt>
                <c:pt idx="8">
                  <c:v>711.115725783832</c:v>
                </c:pt>
                <c:pt idx="9">
                  <c:v>392.315499139888</c:v>
                </c:pt>
                <c:pt idx="10">
                  <c:v>288.72529518363</c:v>
                </c:pt>
                <c:pt idx="11">
                  <c:v>167.738342342197</c:v>
                </c:pt>
                <c:pt idx="12">
                  <c:v>54.7949141249737</c:v>
                </c:pt>
                <c:pt idx="13">
                  <c:v>-6.57963903599648</c:v>
                </c:pt>
                <c:pt idx="14">
                  <c:v>-253.087670436149</c:v>
                </c:pt>
                <c:pt idx="15">
                  <c:v>-352.744969959458</c:v>
                </c:pt>
                <c:pt idx="16">
                  <c:v>-343.550778707707</c:v>
                </c:pt>
                <c:pt idx="17">
                  <c:v>-522.349104095873</c:v>
                </c:pt>
                <c:pt idx="18">
                  <c:v>-679.624285185816</c:v>
                </c:pt>
                <c:pt idx="19">
                  <c:v>-863.19026135196</c:v>
                </c:pt>
                <c:pt idx="20">
                  <c:v>-832.677247688794</c:v>
                </c:pt>
                <c:pt idx="21">
                  <c:v>-204.178091155102</c:v>
                </c:pt>
                <c:pt idx="22">
                  <c:v>-272.852165533378</c:v>
                </c:pt>
                <c:pt idx="23">
                  <c:v>-298.821409064702</c:v>
                </c:pt>
                <c:pt idx="24">
                  <c:v>-309.709056425679</c:v>
                </c:pt>
                <c:pt idx="25">
                  <c:v>-347.015014258443</c:v>
                </c:pt>
                <c:pt idx="26">
                  <c:v>-405.147211184362</c:v>
                </c:pt>
                <c:pt idx="27">
                  <c:v>-16.4434429511712</c:v>
                </c:pt>
                <c:pt idx="28">
                  <c:v>345.812996904306</c:v>
                </c:pt>
                <c:pt idx="29">
                  <c:v>253.662092612082</c:v>
                </c:pt>
                <c:pt idx="30">
                  <c:v>244.04105083739</c:v>
                </c:pt>
                <c:pt idx="31">
                  <c:v>179.058750345377</c:v>
                </c:pt>
                <c:pt idx="32">
                  <c:v>-341.064964792326</c:v>
                </c:pt>
                <c:pt idx="33">
                  <c:v>-85.8177432392595</c:v>
                </c:pt>
                <c:pt idx="34">
                  <c:v>-95.492012004207</c:v>
                </c:pt>
                <c:pt idx="35">
                  <c:v>578.666915243978</c:v>
                </c:pt>
                <c:pt idx="36">
                  <c:v>1483.43798220499</c:v>
                </c:pt>
                <c:pt idx="37">
                  <c:v>1193.0287275881</c:v>
                </c:pt>
                <c:pt idx="38">
                  <c:v>607.211179189375</c:v>
                </c:pt>
                <c:pt idx="39">
                  <c:v>934.24522823585</c:v>
                </c:pt>
                <c:pt idx="40">
                  <c:v>457.948057107506</c:v>
                </c:pt>
                <c:pt idx="41">
                  <c:v>49.5603431109503</c:v>
                </c:pt>
                <c:pt idx="42">
                  <c:v>-171.517396980467</c:v>
                </c:pt>
                <c:pt idx="43">
                  <c:v>-386.582202420603</c:v>
                </c:pt>
                <c:pt idx="44">
                  <c:v>-669.94399720291</c:v>
                </c:pt>
                <c:pt idx="45">
                  <c:v>-867.594741453682</c:v>
                </c:pt>
                <c:pt idx="46">
                  <c:v>-1057.98068094336</c:v>
                </c:pt>
                <c:pt idx="47">
                  <c:v>-1241.58057730779</c:v>
                </c:pt>
                <c:pt idx="48">
                  <c:v>-1700.80920703581</c:v>
                </c:pt>
                <c:pt idx="49">
                  <c:v>-1938.30919641311</c:v>
                </c:pt>
                <c:pt idx="50">
                  <c:v>-1448.1977926284</c:v>
                </c:pt>
                <c:pt idx="51">
                  <c:v>-1177.16634964592</c:v>
                </c:pt>
                <c:pt idx="52">
                  <c:v>-882.978882136237</c:v>
                </c:pt>
                <c:pt idx="53">
                  <c:v>150.881175214023</c:v>
                </c:pt>
                <c:pt idx="54">
                  <c:v>15.5659827857125</c:v>
                </c:pt>
                <c:pt idx="55">
                  <c:v>561.83190817878</c:v>
                </c:pt>
                <c:pt idx="56">
                  <c:v>449.290531935275</c:v>
                </c:pt>
                <c:pt idx="57">
                  <c:v>1160.90539775011</c:v>
                </c:pt>
                <c:pt idx="58">
                  <c:v>1027.1115362224</c:v>
                </c:pt>
                <c:pt idx="59">
                  <c:v>974.544216217409</c:v>
                </c:pt>
                <c:pt idx="60">
                  <c:v>912.147692535304</c:v>
                </c:pt>
                <c:pt idx="61">
                  <c:v>837.679650260873</c:v>
                </c:pt>
                <c:pt idx="62">
                  <c:v>-241.700136666824</c:v>
                </c:pt>
                <c:pt idx="63">
                  <c:v>-19.1451582231775</c:v>
                </c:pt>
                <c:pt idx="64">
                  <c:v>-74.4360537424309</c:v>
                </c:pt>
                <c:pt idx="65">
                  <c:v>576.644546384764</c:v>
                </c:pt>
                <c:pt idx="66">
                  <c:v>1463.575450021</c:v>
                </c:pt>
                <c:pt idx="67">
                  <c:v>1163.86275718533</c:v>
                </c:pt>
                <c:pt idx="68">
                  <c:v>855.764488098641</c:v>
                </c:pt>
                <c:pt idx="69">
                  <c:v>626.948916179786</c:v>
                </c:pt>
                <c:pt idx="70">
                  <c:v>355.180605635005</c:v>
                </c:pt>
                <c:pt idx="71">
                  <c:v>146.616594644236</c:v>
                </c:pt>
                <c:pt idx="72">
                  <c:v>-531.653247189004</c:v>
                </c:pt>
                <c:pt idx="73">
                  <c:v>-833.832012832789</c:v>
                </c:pt>
                <c:pt idx="74">
                  <c:v>-1239.47970614889</c:v>
                </c:pt>
                <c:pt idx="75">
                  <c:v>-1431.49150231293</c:v>
                </c:pt>
                <c:pt idx="76">
                  <c:v>-624.0055124343</c:v>
                </c:pt>
                <c:pt idx="77">
                  <c:v>-1158.4402855524</c:v>
                </c:pt>
                <c:pt idx="78">
                  <c:v>-1518.90286480682</c:v>
                </c:pt>
                <c:pt idx="79">
                  <c:v>-1904.13465725866</c:v>
                </c:pt>
                <c:pt idx="80">
                  <c:v>-1310.08934065806</c:v>
                </c:pt>
                <c:pt idx="81">
                  <c:v>-1146.30953263084</c:v>
                </c:pt>
                <c:pt idx="82">
                  <c:v>-760.748940765649</c:v>
                </c:pt>
                <c:pt idx="83">
                  <c:v>265.999396813828</c:v>
                </c:pt>
                <c:pt idx="84">
                  <c:v>124.006088283966</c:v>
                </c:pt>
                <c:pt idx="85">
                  <c:v>534.283427105564</c:v>
                </c:pt>
                <c:pt idx="86">
                  <c:v>756.581324935456</c:v>
                </c:pt>
                <c:pt idx="87">
                  <c:v>1167.0179544066</c:v>
                </c:pt>
                <c:pt idx="88">
                  <c:v>1092.32458430915</c:v>
                </c:pt>
                <c:pt idx="89">
                  <c:v>1026.23057758999</c:v>
                </c:pt>
                <c:pt idx="90">
                  <c:v>889.721761901178</c:v>
                </c:pt>
                <c:pt idx="91">
                  <c:v>1039.57737846082</c:v>
                </c:pt>
                <c:pt idx="92">
                  <c:v>743.256918246855</c:v>
                </c:pt>
                <c:pt idx="93">
                  <c:v>625.690013857821</c:v>
                </c:pt>
                <c:pt idx="94">
                  <c:v>456.204462985565</c:v>
                </c:pt>
                <c:pt idx="95">
                  <c:v>377.279227542815</c:v>
                </c:pt>
                <c:pt idx="96">
                  <c:v>307.859683537368</c:v>
                </c:pt>
                <c:pt idx="97">
                  <c:v>252.804517619215</c:v>
                </c:pt>
                <c:pt idx="98">
                  <c:v>187.264517188828</c:v>
                </c:pt>
                <c:pt idx="99">
                  <c:v>100.26443759764</c:v>
                </c:pt>
                <c:pt idx="100">
                  <c:v>4.65909665404479</c:v>
                </c:pt>
                <c:pt idx="101">
                  <c:v>-33.6913687325814</c:v>
                </c:pt>
                <c:pt idx="102">
                  <c:v>-21.1427057655173</c:v>
                </c:pt>
                <c:pt idx="103">
                  <c:v>-72.0007798731144</c:v>
                </c:pt>
                <c:pt idx="104">
                  <c:v>-87.6804911348067</c:v>
                </c:pt>
                <c:pt idx="105">
                  <c:v>-98.0143586971199</c:v>
                </c:pt>
                <c:pt idx="106">
                  <c:v>36.5375612440542</c:v>
                </c:pt>
                <c:pt idx="107">
                  <c:v>-65.1917398818537</c:v>
                </c:pt>
                <c:pt idx="108">
                  <c:v>-230.769992823154</c:v>
                </c:pt>
                <c:pt idx="109">
                  <c:v>-263.229189693849</c:v>
                </c:pt>
                <c:pt idx="110">
                  <c:v>-298.718401405081</c:v>
                </c:pt>
                <c:pt idx="111">
                  <c:v>-324.914897178009</c:v>
                </c:pt>
                <c:pt idx="112">
                  <c:v>-367.59250530865</c:v>
                </c:pt>
                <c:pt idx="113">
                  <c:v>-425.37699535645</c:v>
                </c:pt>
                <c:pt idx="114">
                  <c:v>-450.432160571123</c:v>
                </c:pt>
                <c:pt idx="115">
                  <c:v>-450.725223011949</c:v>
                </c:pt>
                <c:pt idx="116">
                  <c:v>-456.756146484941</c:v>
                </c:pt>
                <c:pt idx="117">
                  <c:v>-461.415313953995</c:v>
                </c:pt>
                <c:pt idx="118">
                  <c:v>-483.272651067275</c:v>
                </c:pt>
                <c:pt idx="119">
                  <c:v>-523.831089937902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22944"/>
        <c:axId val="67933312"/>
      </c:barChart>
      <c:catAx>
        <c:axId val="679229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Observations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933312"/>
        <c:crosses val="autoZero"/>
        <c:auto val="1"/>
        <c:lblAlgn val="ctr"/>
        <c:lblOffset val="100"/>
        <c:noMultiLvlLbl val="0"/>
      </c:catAx>
      <c:valAx>
        <c:axId val="6793331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922944"/>
        <c:crosses val="autoZero"/>
        <c:crossBetween val="between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/ Standardized coefficients
(95% conf. interval)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'Linear regression'!$B$80</c:f>
              <c:strCache>
                <c:ptCount val="1"/>
                <c:pt idx="0">
                  <c:v>X1</c:v>
                </c:pt>
              </c:strCache>
            </c:strRef>
          </c:tx>
          <c:spPr>
            <a:solidFill>
              <a:srgbClr val="4791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0.0783752600088848</c:v>
                </c:pt>
              </c:numLit>
            </c:plus>
            <c:minus>
              <c:numLit>
                <c:formatCode>General</c:formatCode>
                <c:ptCount val="1"/>
                <c:pt idx="0">
                  <c:v>0.0783752600088848</c:v>
                </c:pt>
              </c:numLit>
            </c:minus>
          </c:errBars>
          <c:val>
            <c:numRef>
              <c:f>'Linear regression'!$C$80</c:f>
              <c:numCache>
                <c:formatCode>0.0000</c:formatCode>
                <c:ptCount val="1"/>
                <c:pt idx="0">
                  <c:v>-0.289863907312439</c:v>
                </c:pt>
              </c:numCache>
            </c:numRef>
          </c:val>
        </c:ser>
        <c:ser>
          <c:idx val="1"/>
          <c:order val="1"/>
          <c:tx>
            <c:strRef>
              <c:f>'Linear regression'!$B$81</c:f>
              <c:strCache>
                <c:ptCount val="1"/>
                <c:pt idx="0">
                  <c:v>X2</c:v>
                </c:pt>
              </c:strCache>
            </c:strRef>
          </c:tx>
          <c:spPr>
            <a:solidFill>
              <a:srgbClr val="4791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0.0908177795445892</c:v>
                </c:pt>
              </c:numLit>
            </c:plus>
            <c:minus>
              <c:numLit>
                <c:formatCode>General</c:formatCode>
                <c:ptCount val="1"/>
                <c:pt idx="0">
                  <c:v>0.0908177795445892</c:v>
                </c:pt>
              </c:numLit>
            </c:minus>
          </c:errBars>
          <c:val>
            <c:numRef>
              <c:f>'Linear regression'!$C$81</c:f>
              <c:numCache>
                <c:formatCode>0.0000</c:formatCode>
                <c:ptCount val="1"/>
                <c:pt idx="0">
                  <c:v>0.469256183449227</c:v>
                </c:pt>
              </c:numCache>
            </c:numRef>
          </c:val>
        </c:ser>
        <c:ser>
          <c:idx val="2"/>
          <c:order val="2"/>
          <c:tx>
            <c:strRef>
              <c:f>'Linear regression'!$B$82</c:f>
              <c:strCache>
                <c:ptCount val="1"/>
                <c:pt idx="0">
                  <c:v>X3</c:v>
                </c:pt>
              </c:strCache>
            </c:strRef>
          </c:tx>
          <c:spPr>
            <a:solidFill>
              <a:srgbClr val="4791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0.0653379696420012</c:v>
                </c:pt>
              </c:numLit>
            </c:plus>
            <c:minus>
              <c:numLit>
                <c:formatCode>General</c:formatCode>
                <c:ptCount val="1"/>
                <c:pt idx="0">
                  <c:v>0.0653379696420012</c:v>
                </c:pt>
              </c:numLit>
            </c:minus>
          </c:errBars>
          <c:val>
            <c:numRef>
              <c:f>'Linear regression'!$C$82</c:f>
              <c:numCache>
                <c:formatCode>0.0000</c:formatCode>
                <c:ptCount val="1"/>
                <c:pt idx="0">
                  <c:v>0.371456977505143</c:v>
                </c:pt>
              </c:numCache>
            </c:numRef>
          </c:val>
        </c:ser>
        <c:ser>
          <c:idx val="3"/>
          <c:order val="3"/>
          <c:tx>
            <c:strRef>
              <c:f>'Linear regression'!$B$83</c:f>
              <c:strCache>
                <c:ptCount val="1"/>
                <c:pt idx="0">
                  <c:v>X4</c:v>
                </c:pt>
              </c:strCache>
            </c:strRef>
          </c:tx>
          <c:spPr>
            <a:solidFill>
              <a:srgbClr val="4791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0.0652251975776679</c:v>
                </c:pt>
              </c:numLit>
            </c:plus>
            <c:minus>
              <c:numLit>
                <c:formatCode>General</c:formatCode>
                <c:ptCount val="1"/>
                <c:pt idx="0">
                  <c:v>0.0652251975776679</c:v>
                </c:pt>
              </c:numLit>
            </c:minus>
          </c:errBars>
          <c:val>
            <c:numRef>
              <c:f>'Linear regression'!$C$83</c:f>
              <c:numCache>
                <c:formatCode>0.0000</c:formatCode>
                <c:ptCount val="1"/>
                <c:pt idx="0">
                  <c:v>-0.529665866664636</c:v>
                </c:pt>
              </c:numCache>
            </c:numRef>
          </c:val>
        </c:ser>
        <c:ser>
          <c:idx val="4"/>
          <c:order val="4"/>
          <c:tx>
            <c:strRef>
              <c:f>'Linear regression'!$B$84</c:f>
              <c:strCache>
                <c:ptCount val="1"/>
                <c:pt idx="0">
                  <c:v>X5</c:v>
                </c:pt>
              </c:strCache>
            </c:strRef>
          </c:tx>
          <c:spPr>
            <a:solidFill>
              <a:srgbClr val="4791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0.0798235308214674</c:v>
                </c:pt>
              </c:numLit>
            </c:plus>
            <c:minus>
              <c:numLit>
                <c:formatCode>General</c:formatCode>
                <c:ptCount val="1"/>
                <c:pt idx="0">
                  <c:v>0.0798235308214674</c:v>
                </c:pt>
              </c:numLit>
            </c:minus>
          </c:errBars>
          <c:val>
            <c:numRef>
              <c:f>'Linear regression'!$C$84</c:f>
              <c:numCache>
                <c:formatCode>0.0000</c:formatCode>
                <c:ptCount val="1"/>
                <c:pt idx="0">
                  <c:v>0.0191432698314543</c:v>
                </c:pt>
              </c:numCache>
            </c:numRef>
          </c:val>
        </c:ser>
        <c:dLbls>
          <c:showLegendKey val="0"/>
          <c:showVal val="0"/>
          <c:showCatName val="0"/>
          <c:showSerName val="1"/>
          <c:showPercent val="0"/>
          <c:showBubbleSize val="0"/>
        </c:dLbls>
        <c:gapWidth val="50"/>
        <c:overlap val="-30"/>
        <c:axId val="68071808"/>
        <c:axId val="68073728"/>
      </c:barChart>
      <c:catAx>
        <c:axId val="680718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Variable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073728"/>
        <c:crosses val="autoZero"/>
        <c:auto val="1"/>
        <c:lblAlgn val="ctr"/>
        <c:lblOffset val="100"/>
        <c:noMultiLvlLbl val="0"/>
      </c:catAx>
      <c:valAx>
        <c:axId val="6807372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coefficients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071808"/>
        <c:crosses val="autoZero"/>
        <c:crossBetween val="between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/ Standardized residuals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"Active"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'Linear regression'!$D$109:$D$228</c:f>
              <c:numCache>
                <c:formatCode>0.0000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'Linear regression'!$G$109:$G$228</c:f>
              <c:numCache>
                <c:formatCode>0.0000</c:formatCode>
                <c:ptCount val="120"/>
                <c:pt idx="0">
                  <c:v>-0.841844442915571</c:v>
                </c:pt>
                <c:pt idx="1">
                  <c:v>-0.288041631527778</c:v>
                </c:pt>
                <c:pt idx="2">
                  <c:v>-0.396746561880413</c:v>
                </c:pt>
                <c:pt idx="3">
                  <c:v>-0.520733217619192</c:v>
                </c:pt>
                <c:pt idx="4">
                  <c:v>-0.574603721586256</c:v>
                </c:pt>
                <c:pt idx="5">
                  <c:v>0.363105071896331</c:v>
                </c:pt>
                <c:pt idx="6">
                  <c:v>0.237320566112123</c:v>
                </c:pt>
                <c:pt idx="7">
                  <c:v>0.0926586348509166</c:v>
                </c:pt>
                <c:pt idx="8">
                  <c:v>0.49364419237728</c:v>
                </c:pt>
                <c:pt idx="9">
                  <c:v>0.127077775297231</c:v>
                </c:pt>
                <c:pt idx="10">
                  <c:v>-0.00499920564597514</c:v>
                </c:pt>
                <c:pt idx="11">
                  <c:v>-0.15775146211161</c:v>
                </c:pt>
                <c:pt idx="12">
                  <c:v>-0.307806943509103</c:v>
                </c:pt>
                <c:pt idx="13">
                  <c:v>-0.415612948839024</c:v>
                </c:pt>
                <c:pt idx="14">
                  <c:v>-0.816338516782216</c:v>
                </c:pt>
                <c:pt idx="15">
                  <c:v>-0.971787548315995</c:v>
                </c:pt>
                <c:pt idx="16">
                  <c:v>0.784683218522032</c:v>
                </c:pt>
                <c:pt idx="17">
                  <c:v>0.650808387533398</c:v>
                </c:pt>
                <c:pt idx="18">
                  <c:v>0.499853981113191</c:v>
                </c:pt>
                <c:pt idx="19">
                  <c:v>0.255476369726491</c:v>
                </c:pt>
                <c:pt idx="20">
                  <c:v>0.224078991327284</c:v>
                </c:pt>
                <c:pt idx="21">
                  <c:v>0.565865492146092</c:v>
                </c:pt>
                <c:pt idx="22">
                  <c:v>0.418506785816742</c:v>
                </c:pt>
                <c:pt idx="23">
                  <c:v>0.305307230350535</c:v>
                </c:pt>
                <c:pt idx="24">
                  <c:v>0.201995850134186</c:v>
                </c:pt>
                <c:pt idx="25">
                  <c:v>0.0717167192364073</c:v>
                </c:pt>
                <c:pt idx="26">
                  <c:v>-0.080136612206514</c:v>
                </c:pt>
                <c:pt idx="27">
                  <c:v>0.167132766435708</c:v>
                </c:pt>
                <c:pt idx="28">
                  <c:v>0.388333319419214</c:v>
                </c:pt>
                <c:pt idx="29">
                  <c:v>-0.0195836487056916</c:v>
                </c:pt>
                <c:pt idx="30">
                  <c:v>-0.139974604353612</c:v>
                </c:pt>
                <c:pt idx="31">
                  <c:v>-0.311604286296248</c:v>
                </c:pt>
                <c:pt idx="32">
                  <c:v>-1.8283386509155</c:v>
                </c:pt>
                <c:pt idx="33">
                  <c:v>-1.09475083498485</c:v>
                </c:pt>
                <c:pt idx="34">
                  <c:v>-0.72792442832163</c:v>
                </c:pt>
                <c:pt idx="35">
                  <c:v>0.416537120385243</c:v>
                </c:pt>
                <c:pt idx="36">
                  <c:v>1.43148846842546</c:v>
                </c:pt>
                <c:pt idx="37">
                  <c:v>1.34076203852711</c:v>
                </c:pt>
                <c:pt idx="38">
                  <c:v>1.08379947682241</c:v>
                </c:pt>
                <c:pt idx="39">
                  <c:v>1.48478503434878</c:v>
                </c:pt>
                <c:pt idx="40">
                  <c:v>1.22782247264408</c:v>
                </c:pt>
                <c:pt idx="41">
                  <c:v>0.986141636325523</c:v>
                </c:pt>
                <c:pt idx="42">
                  <c:v>0.836086154928031</c:v>
                </c:pt>
                <c:pt idx="43">
                  <c:v>0.683333898462394</c:v>
                </c:pt>
                <c:pt idx="44">
                  <c:v>0.48839716332498</c:v>
                </c:pt>
                <c:pt idx="45">
                  <c:v>0.331150281745774</c:v>
                </c:pt>
                <c:pt idx="46">
                  <c:v>0.174802325189282</c:v>
                </c:pt>
                <c:pt idx="47">
                  <c:v>0.0193532936555028</c:v>
                </c:pt>
                <c:pt idx="48">
                  <c:v>-1.95375086135225</c:v>
                </c:pt>
                <c:pt idx="49">
                  <c:v>-2.0570622415686</c:v>
                </c:pt>
                <c:pt idx="50">
                  <c:v>-1.48155523484407</c:v>
                </c:pt>
                <c:pt idx="51">
                  <c:v>-1.23158908113371</c:v>
                </c:pt>
                <c:pt idx="52">
                  <c:v>-0.973532602218917</c:v>
                </c:pt>
                <c:pt idx="53">
                  <c:v>-0.061058706768124</c:v>
                </c:pt>
                <c:pt idx="54">
                  <c:v>-0.208417413097473</c:v>
                </c:pt>
                <c:pt idx="55">
                  <c:v>0.163932538493619</c:v>
                </c:pt>
                <c:pt idx="56">
                  <c:v>0.0120792070506984</c:v>
                </c:pt>
                <c:pt idx="57">
                  <c:v>0.537181415107427</c:v>
                </c:pt>
                <c:pt idx="58">
                  <c:v>0.287410253584441</c:v>
                </c:pt>
                <c:pt idx="59">
                  <c:v>0.170614998027378</c:v>
                </c:pt>
                <c:pt idx="60">
                  <c:v>0.0421337171750289</c:v>
                </c:pt>
                <c:pt idx="61">
                  <c:v>-0.0998314390180361</c:v>
                </c:pt>
                <c:pt idx="62">
                  <c:v>-1.68274394447532</c:v>
                </c:pt>
                <c:pt idx="63">
                  <c:v>-0.949156128544669</c:v>
                </c:pt>
                <c:pt idx="64">
                  <c:v>-0.282922691921798</c:v>
                </c:pt>
                <c:pt idx="65">
                  <c:v>0.562131826825424</c:v>
                </c:pt>
                <c:pt idx="66">
                  <c:v>1.57708317486564</c:v>
                </c:pt>
                <c:pt idx="67">
                  <c:v>1.4926492201263</c:v>
                </c:pt>
                <c:pt idx="68">
                  <c:v>1.63037974078896</c:v>
                </c:pt>
                <c:pt idx="69">
                  <c:v>1.52796728559532</c:v>
                </c:pt>
                <c:pt idx="70">
                  <c:v>1.37341717908426</c:v>
                </c:pt>
                <c:pt idx="71">
                  <c:v>1.26381332370891</c:v>
                </c:pt>
                <c:pt idx="72">
                  <c:v>0.828928604902575</c:v>
                </c:pt>
                <c:pt idx="73">
                  <c:v>0.633991869765161</c:v>
                </c:pt>
                <c:pt idx="74">
                  <c:v>0.320397031629463</c:v>
                </c:pt>
                <c:pt idx="75">
                  <c:v>0.164948000095684</c:v>
                </c:pt>
                <c:pt idx="76">
                  <c:v>-1.52332691750322</c:v>
                </c:pt>
                <c:pt idx="77">
                  <c:v>-1.67428132392343</c:v>
                </c:pt>
                <c:pt idx="78">
                  <c:v>-1.80815615491206</c:v>
                </c:pt>
                <c:pt idx="79">
                  <c:v>-1.95185416375476</c:v>
                </c:pt>
                <c:pt idx="80">
                  <c:v>-1.33596052840389</c:v>
                </c:pt>
                <c:pt idx="81">
                  <c:v>-1.17498795194224</c:v>
                </c:pt>
                <c:pt idx="82">
                  <c:v>-0.827937895778736</c:v>
                </c:pt>
                <c:pt idx="83">
                  <c:v>0.0845359996720572</c:v>
                </c:pt>
                <c:pt idx="84">
                  <c:v>-0.0628227066572919</c:v>
                </c:pt>
                <c:pt idx="85">
                  <c:v>0.15767391349088</c:v>
                </c:pt>
                <c:pt idx="86">
                  <c:v>0.306960464657245</c:v>
                </c:pt>
                <c:pt idx="87">
                  <c:v>0.562385165899687</c:v>
                </c:pt>
                <c:pt idx="88">
                  <c:v>0.433004960024623</c:v>
                </c:pt>
                <c:pt idx="89">
                  <c:v>0.308119379263131</c:v>
                </c:pt>
                <c:pt idx="90">
                  <c:v>0.0457632674221451</c:v>
                </c:pt>
                <c:pt idx="91">
                  <c:v>0.760125827688571</c:v>
                </c:pt>
                <c:pt idx="92">
                  <c:v>0.450126689643729</c:v>
                </c:pt>
                <c:pt idx="93">
                  <c:v>0.289284107973665</c:v>
                </c:pt>
                <c:pt idx="94">
                  <c:v>-0.0081300797531773</c:v>
                </c:pt>
                <c:pt idx="95">
                  <c:v>-0.163579111286955</c:v>
                </c:pt>
                <c:pt idx="96">
                  <c:v>-0.316331367752591</c:v>
                </c:pt>
                <c:pt idx="97">
                  <c:v>-0.460993299013798</c:v>
                </c:pt>
                <c:pt idx="98">
                  <c:v>-0.619139105615719</c:v>
                </c:pt>
                <c:pt idx="99">
                  <c:v>-0.905766193069991</c:v>
                </c:pt>
                <c:pt idx="100">
                  <c:v>-1.32357133644475</c:v>
                </c:pt>
                <c:pt idx="101">
                  <c:v>-1.47272789281953</c:v>
                </c:pt>
                <c:pt idx="102">
                  <c:v>-1.57783712308131</c:v>
                </c:pt>
                <c:pt idx="103">
                  <c:v>-1.86086851044472</c:v>
                </c:pt>
                <c:pt idx="104">
                  <c:v>-1.99564226645607</c:v>
                </c:pt>
                <c:pt idx="105">
                  <c:v>-2.12682032237657</c:v>
                </c:pt>
                <c:pt idx="106">
                  <c:v>2.3811949415941</c:v>
                </c:pt>
                <c:pt idx="107">
                  <c:v>2.2374319353556</c:v>
                </c:pt>
                <c:pt idx="108">
                  <c:v>1.79895151645841</c:v>
                </c:pt>
                <c:pt idx="109">
                  <c:v>1.53659540461743</c:v>
                </c:pt>
                <c:pt idx="110">
                  <c:v>1.38204529810636</c:v>
                </c:pt>
                <c:pt idx="111">
                  <c:v>1.23288874173158</c:v>
                </c:pt>
                <c:pt idx="112">
                  <c:v>0.936373479027456</c:v>
                </c:pt>
                <c:pt idx="113">
                  <c:v>0.619182940800899</c:v>
                </c:pt>
                <c:pt idx="114">
                  <c:v>0.461936059221693</c:v>
                </c:pt>
                <c:pt idx="115">
                  <c:v>0.188792847108136</c:v>
                </c:pt>
                <c:pt idx="116">
                  <c:v>-0.0933396152325632</c:v>
                </c:pt>
                <c:pt idx="117">
                  <c:v>-0.237102621471056</c:v>
                </c:pt>
                <c:pt idx="118">
                  <c:v>-0.397046278118406</c:v>
                </c:pt>
                <c:pt idx="119">
                  <c:v>-0.71603466639039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5248"/>
        <c:axId val="68222976"/>
      </c:scatterChart>
      <c:valAx>
        <c:axId val="68085248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222976"/>
        <c:crosses val="autoZero"/>
        <c:crossBetween val="midCat"/>
      </c:valAx>
      <c:valAx>
        <c:axId val="682229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residuals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085248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Pred(Target) / Standardized residuals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"Active"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'Linear regression'!$E$109:$E$228</c:f>
              <c:numCache>
                <c:formatCode>0.0000</c:formatCode>
                <c:ptCount val="120"/>
                <c:pt idx="0">
                  <c:v>3341.50128947756</c:v>
                </c:pt>
                <c:pt idx="1">
                  <c:v>3521.42898378559</c:v>
                </c:pt>
                <c:pt idx="2">
                  <c:v>3701.35667809362</c:v>
                </c:pt>
                <c:pt idx="3">
                  <c:v>3881.28437240166</c:v>
                </c:pt>
                <c:pt idx="4">
                  <c:v>4061.21206670969</c:v>
                </c:pt>
                <c:pt idx="5">
                  <c:v>4421.06745532576</c:v>
                </c:pt>
                <c:pt idx="6">
                  <c:v>4600.99514963379</c:v>
                </c:pt>
                <c:pt idx="7">
                  <c:v>4780.92284394183</c:v>
                </c:pt>
                <c:pt idx="8">
                  <c:v>4960.85053824986</c:v>
                </c:pt>
                <c:pt idx="9">
                  <c:v>5500.63362117396</c:v>
                </c:pt>
                <c:pt idx="10">
                  <c:v>5680.561315482</c:v>
                </c:pt>
                <c:pt idx="11">
                  <c:v>5860.48900979003</c:v>
                </c:pt>
                <c:pt idx="12">
                  <c:v>6040.41670409806</c:v>
                </c:pt>
                <c:pt idx="13">
                  <c:v>6220.3443984061</c:v>
                </c:pt>
                <c:pt idx="14">
                  <c:v>6760.1274813302</c:v>
                </c:pt>
                <c:pt idx="15">
                  <c:v>6940.05517563823</c:v>
                </c:pt>
                <c:pt idx="16">
                  <c:v>71.0871333042905</c:v>
                </c:pt>
                <c:pt idx="17">
                  <c:v>251.014827612324</c:v>
                </c:pt>
                <c:pt idx="18">
                  <c:v>430.942521920358</c:v>
                </c:pt>
                <c:pt idx="19">
                  <c:v>790.797910536426</c:v>
                </c:pt>
                <c:pt idx="20">
                  <c:v>970.72560484446</c:v>
                </c:pt>
                <c:pt idx="21">
                  <c:v>1510.50868776856</c:v>
                </c:pt>
                <c:pt idx="22">
                  <c:v>1690.43638207659</c:v>
                </c:pt>
                <c:pt idx="23">
                  <c:v>1870.36407638463</c:v>
                </c:pt>
                <c:pt idx="24">
                  <c:v>2050.29177069266</c:v>
                </c:pt>
                <c:pt idx="25">
                  <c:v>2230.2194650007</c:v>
                </c:pt>
                <c:pt idx="26">
                  <c:v>2410.14715930873</c:v>
                </c:pt>
                <c:pt idx="27">
                  <c:v>2590.07485361676</c:v>
                </c:pt>
                <c:pt idx="28">
                  <c:v>2770.0025479248</c:v>
                </c:pt>
                <c:pt idx="29">
                  <c:v>3309.7856308489</c:v>
                </c:pt>
                <c:pt idx="30">
                  <c:v>3489.71332515693</c:v>
                </c:pt>
                <c:pt idx="31">
                  <c:v>3669.64101946497</c:v>
                </c:pt>
                <c:pt idx="32">
                  <c:v>6238.91673912344</c:v>
                </c:pt>
                <c:pt idx="33">
                  <c:v>6418.84443343147</c:v>
                </c:pt>
                <c:pt idx="34">
                  <c:v>6598.7721277395</c:v>
                </c:pt>
                <c:pt idx="35">
                  <c:v>6958.62751635557</c:v>
                </c:pt>
                <c:pt idx="36">
                  <c:v>7138.55521066361</c:v>
                </c:pt>
                <c:pt idx="37">
                  <c:v>7318.48290497164</c:v>
                </c:pt>
                <c:pt idx="38">
                  <c:v>7678.33829358771</c:v>
                </c:pt>
                <c:pt idx="39">
                  <c:v>7858.26598789574</c:v>
                </c:pt>
                <c:pt idx="40">
                  <c:v>8218.12137651181</c:v>
                </c:pt>
                <c:pt idx="41">
                  <c:v>8577.97676512788</c:v>
                </c:pt>
                <c:pt idx="42">
                  <c:v>8757.90445943591</c:v>
                </c:pt>
                <c:pt idx="43">
                  <c:v>8937.83215374394</c:v>
                </c:pt>
                <c:pt idx="44">
                  <c:v>9297.68754236001</c:v>
                </c:pt>
                <c:pt idx="45">
                  <c:v>9477.61523666805</c:v>
                </c:pt>
                <c:pt idx="46">
                  <c:v>9657.54293097608</c:v>
                </c:pt>
                <c:pt idx="47">
                  <c:v>9837.47062528411</c:v>
                </c:pt>
                <c:pt idx="48">
                  <c:v>3148.4302772582</c:v>
                </c:pt>
                <c:pt idx="49">
                  <c:v>3328.35797156624</c:v>
                </c:pt>
                <c:pt idx="50">
                  <c:v>3868.14105449034</c:v>
                </c:pt>
                <c:pt idx="51">
                  <c:v>4048.06874879837</c:v>
                </c:pt>
                <c:pt idx="52">
                  <c:v>4227.99644310641</c:v>
                </c:pt>
                <c:pt idx="53">
                  <c:v>4407.92413741444</c:v>
                </c:pt>
                <c:pt idx="54">
                  <c:v>4587.85183172247</c:v>
                </c:pt>
                <c:pt idx="55">
                  <c:v>5127.63491464658</c:v>
                </c:pt>
                <c:pt idx="56">
                  <c:v>5307.56260895461</c:v>
                </c:pt>
                <c:pt idx="57">
                  <c:v>5667.41799757068</c:v>
                </c:pt>
                <c:pt idx="58">
                  <c:v>6027.27338618675</c:v>
                </c:pt>
                <c:pt idx="59">
                  <c:v>6207.20108049478</c:v>
                </c:pt>
                <c:pt idx="60">
                  <c:v>6387.12877480281</c:v>
                </c:pt>
                <c:pt idx="61">
                  <c:v>6567.05646911085</c:v>
                </c:pt>
                <c:pt idx="62">
                  <c:v>6376.95138855331</c:v>
                </c:pt>
                <c:pt idx="63">
                  <c:v>6556.87908286134</c:v>
                </c:pt>
                <c:pt idx="64">
                  <c:v>6916.73447147741</c:v>
                </c:pt>
                <c:pt idx="65">
                  <c:v>7096.66216578544</c:v>
                </c:pt>
                <c:pt idx="66">
                  <c:v>7276.58986009348</c:v>
                </c:pt>
                <c:pt idx="67">
                  <c:v>7456.51755440151</c:v>
                </c:pt>
                <c:pt idx="68">
                  <c:v>7996.30063732561</c:v>
                </c:pt>
                <c:pt idx="69">
                  <c:v>8176.22833163365</c:v>
                </c:pt>
                <c:pt idx="70">
                  <c:v>8356.15602594168</c:v>
                </c:pt>
                <c:pt idx="71">
                  <c:v>8536.08372024971</c:v>
                </c:pt>
                <c:pt idx="72">
                  <c:v>9075.86680317381</c:v>
                </c:pt>
                <c:pt idx="73">
                  <c:v>9435.72219178988</c:v>
                </c:pt>
                <c:pt idx="74">
                  <c:v>9795.57758040595</c:v>
                </c:pt>
                <c:pt idx="75">
                  <c:v>9975.50527471398</c:v>
                </c:pt>
                <c:pt idx="76">
                  <c:v>2926.60953807201</c:v>
                </c:pt>
                <c:pt idx="77">
                  <c:v>3106.53723238004</c:v>
                </c:pt>
                <c:pt idx="78">
                  <c:v>3286.46492668807</c:v>
                </c:pt>
                <c:pt idx="79">
                  <c:v>3646.32031530414</c:v>
                </c:pt>
                <c:pt idx="80">
                  <c:v>4006.17570392021</c:v>
                </c:pt>
                <c:pt idx="81">
                  <c:v>4186.10339822824</c:v>
                </c:pt>
                <c:pt idx="82">
                  <c:v>4366.03109253628</c:v>
                </c:pt>
                <c:pt idx="83">
                  <c:v>4545.95878684431</c:v>
                </c:pt>
                <c:pt idx="84">
                  <c:v>4725.88648115234</c:v>
                </c:pt>
                <c:pt idx="85">
                  <c:v>5445.59725838448</c:v>
                </c:pt>
                <c:pt idx="86">
                  <c:v>5625.52495269251</c:v>
                </c:pt>
                <c:pt idx="87">
                  <c:v>5985.38034130858</c:v>
                </c:pt>
                <c:pt idx="88">
                  <c:v>6165.30803561662</c:v>
                </c:pt>
                <c:pt idx="89">
                  <c:v>6345.23572992465</c:v>
                </c:pt>
                <c:pt idx="90">
                  <c:v>6705.09111854072</c:v>
                </c:pt>
                <c:pt idx="91">
                  <c:v>1251.40575300331</c:v>
                </c:pt>
                <c:pt idx="92">
                  <c:v>1611.26114161937</c:v>
                </c:pt>
                <c:pt idx="93">
                  <c:v>1791.18883592741</c:v>
                </c:pt>
                <c:pt idx="94">
                  <c:v>2151.04422454348</c:v>
                </c:pt>
                <c:pt idx="95">
                  <c:v>2330.97191885151</c:v>
                </c:pt>
                <c:pt idx="96">
                  <c:v>2510.89961315954</c:v>
                </c:pt>
                <c:pt idx="97">
                  <c:v>2690.82730746758</c:v>
                </c:pt>
                <c:pt idx="98">
                  <c:v>2870.75500177561</c:v>
                </c:pt>
                <c:pt idx="99">
                  <c:v>3230.61039039168</c:v>
                </c:pt>
                <c:pt idx="100">
                  <c:v>3770.39347331578</c:v>
                </c:pt>
                <c:pt idx="101">
                  <c:v>3950.32116762381</c:v>
                </c:pt>
                <c:pt idx="102">
                  <c:v>4130.24886193185</c:v>
                </c:pt>
                <c:pt idx="103">
                  <c:v>4490.10425054792</c:v>
                </c:pt>
                <c:pt idx="104">
                  <c:v>4670.03194485595</c:v>
                </c:pt>
                <c:pt idx="105">
                  <c:v>4849.95963916398</c:v>
                </c:pt>
                <c:pt idx="106">
                  <c:v>-2198.93609747799</c:v>
                </c:pt>
                <c:pt idx="107">
                  <c:v>-2019.00840316996</c:v>
                </c:pt>
                <c:pt idx="108">
                  <c:v>-1479.22532024586</c:v>
                </c:pt>
                <c:pt idx="109">
                  <c:v>-1119.36993162979</c:v>
                </c:pt>
                <c:pt idx="110">
                  <c:v>-939.442237321758</c:v>
                </c:pt>
                <c:pt idx="111">
                  <c:v>-759.514543013724</c:v>
                </c:pt>
                <c:pt idx="112">
                  <c:v>-399.659154397656</c:v>
                </c:pt>
                <c:pt idx="113">
                  <c:v>-39.8037657815876</c:v>
                </c:pt>
                <c:pt idx="114">
                  <c:v>140.123928526446</c:v>
                </c:pt>
                <c:pt idx="115">
                  <c:v>499.979317142514</c:v>
                </c:pt>
                <c:pt idx="116">
                  <c:v>859.834705758581</c:v>
                </c:pt>
                <c:pt idx="117">
                  <c:v>1039.76240006661</c:v>
                </c:pt>
                <c:pt idx="118">
                  <c:v>1219.69009437465</c:v>
                </c:pt>
                <c:pt idx="119">
                  <c:v>1579.54548299072</c:v>
                </c:pt>
              </c:numCache>
            </c:numRef>
          </c:xVal>
          <c:yVal>
            <c:numRef>
              <c:f>'Linear regression'!$G$109:$G$228</c:f>
              <c:numCache>
                <c:formatCode>0.0000</c:formatCode>
                <c:ptCount val="120"/>
                <c:pt idx="0">
                  <c:v>-0.841844442915571</c:v>
                </c:pt>
                <c:pt idx="1">
                  <c:v>-0.288041631527778</c:v>
                </c:pt>
                <c:pt idx="2">
                  <c:v>-0.396746561880413</c:v>
                </c:pt>
                <c:pt idx="3">
                  <c:v>-0.520733217619192</c:v>
                </c:pt>
                <c:pt idx="4">
                  <c:v>-0.574603721586256</c:v>
                </c:pt>
                <c:pt idx="5">
                  <c:v>0.363105071896331</c:v>
                </c:pt>
                <c:pt idx="6">
                  <c:v>0.237320566112123</c:v>
                </c:pt>
                <c:pt idx="7">
                  <c:v>0.0926586348509166</c:v>
                </c:pt>
                <c:pt idx="8">
                  <c:v>0.49364419237728</c:v>
                </c:pt>
                <c:pt idx="9">
                  <c:v>0.127077775297231</c:v>
                </c:pt>
                <c:pt idx="10">
                  <c:v>-0.00499920564597514</c:v>
                </c:pt>
                <c:pt idx="11">
                  <c:v>-0.15775146211161</c:v>
                </c:pt>
                <c:pt idx="12">
                  <c:v>-0.307806943509103</c:v>
                </c:pt>
                <c:pt idx="13">
                  <c:v>-0.415612948839024</c:v>
                </c:pt>
                <c:pt idx="14">
                  <c:v>-0.816338516782216</c:v>
                </c:pt>
                <c:pt idx="15">
                  <c:v>-0.971787548315995</c:v>
                </c:pt>
                <c:pt idx="16">
                  <c:v>0.784683218522032</c:v>
                </c:pt>
                <c:pt idx="17">
                  <c:v>0.650808387533398</c:v>
                </c:pt>
                <c:pt idx="18">
                  <c:v>0.499853981113191</c:v>
                </c:pt>
                <c:pt idx="19">
                  <c:v>0.255476369726491</c:v>
                </c:pt>
                <c:pt idx="20">
                  <c:v>0.224078991327284</c:v>
                </c:pt>
                <c:pt idx="21">
                  <c:v>0.565865492146092</c:v>
                </c:pt>
                <c:pt idx="22">
                  <c:v>0.418506785816742</c:v>
                </c:pt>
                <c:pt idx="23">
                  <c:v>0.305307230350535</c:v>
                </c:pt>
                <c:pt idx="24">
                  <c:v>0.201995850134186</c:v>
                </c:pt>
                <c:pt idx="25">
                  <c:v>0.0717167192364073</c:v>
                </c:pt>
                <c:pt idx="26">
                  <c:v>-0.080136612206514</c:v>
                </c:pt>
                <c:pt idx="27">
                  <c:v>0.167132766435708</c:v>
                </c:pt>
                <c:pt idx="28">
                  <c:v>0.388333319419214</c:v>
                </c:pt>
                <c:pt idx="29">
                  <c:v>-0.0195836487056916</c:v>
                </c:pt>
                <c:pt idx="30">
                  <c:v>-0.139974604353612</c:v>
                </c:pt>
                <c:pt idx="31">
                  <c:v>-0.311604286296248</c:v>
                </c:pt>
                <c:pt idx="32">
                  <c:v>-1.8283386509155</c:v>
                </c:pt>
                <c:pt idx="33">
                  <c:v>-1.09475083498485</c:v>
                </c:pt>
                <c:pt idx="34">
                  <c:v>-0.72792442832163</c:v>
                </c:pt>
                <c:pt idx="35">
                  <c:v>0.416537120385243</c:v>
                </c:pt>
                <c:pt idx="36">
                  <c:v>1.43148846842546</c:v>
                </c:pt>
                <c:pt idx="37">
                  <c:v>1.34076203852711</c:v>
                </c:pt>
                <c:pt idx="38">
                  <c:v>1.08379947682241</c:v>
                </c:pt>
                <c:pt idx="39">
                  <c:v>1.48478503434878</c:v>
                </c:pt>
                <c:pt idx="40">
                  <c:v>1.22782247264408</c:v>
                </c:pt>
                <c:pt idx="41">
                  <c:v>0.986141636325523</c:v>
                </c:pt>
                <c:pt idx="42">
                  <c:v>0.836086154928031</c:v>
                </c:pt>
                <c:pt idx="43">
                  <c:v>0.683333898462394</c:v>
                </c:pt>
                <c:pt idx="44">
                  <c:v>0.48839716332498</c:v>
                </c:pt>
                <c:pt idx="45">
                  <c:v>0.331150281745774</c:v>
                </c:pt>
                <c:pt idx="46">
                  <c:v>0.174802325189282</c:v>
                </c:pt>
                <c:pt idx="47">
                  <c:v>0.0193532936555028</c:v>
                </c:pt>
                <c:pt idx="48">
                  <c:v>-1.95375086135225</c:v>
                </c:pt>
                <c:pt idx="49">
                  <c:v>-2.0570622415686</c:v>
                </c:pt>
                <c:pt idx="50">
                  <c:v>-1.48155523484407</c:v>
                </c:pt>
                <c:pt idx="51">
                  <c:v>-1.23158908113371</c:v>
                </c:pt>
                <c:pt idx="52">
                  <c:v>-0.973532602218917</c:v>
                </c:pt>
                <c:pt idx="53">
                  <c:v>-0.061058706768124</c:v>
                </c:pt>
                <c:pt idx="54">
                  <c:v>-0.208417413097473</c:v>
                </c:pt>
                <c:pt idx="55">
                  <c:v>0.163932538493619</c:v>
                </c:pt>
                <c:pt idx="56">
                  <c:v>0.0120792070506984</c:v>
                </c:pt>
                <c:pt idx="57">
                  <c:v>0.537181415107427</c:v>
                </c:pt>
                <c:pt idx="58">
                  <c:v>0.287410253584441</c:v>
                </c:pt>
                <c:pt idx="59">
                  <c:v>0.170614998027378</c:v>
                </c:pt>
                <c:pt idx="60">
                  <c:v>0.0421337171750289</c:v>
                </c:pt>
                <c:pt idx="61">
                  <c:v>-0.0998314390180361</c:v>
                </c:pt>
                <c:pt idx="62">
                  <c:v>-1.68274394447532</c:v>
                </c:pt>
                <c:pt idx="63">
                  <c:v>-0.949156128544669</c:v>
                </c:pt>
                <c:pt idx="64">
                  <c:v>-0.282922691921798</c:v>
                </c:pt>
                <c:pt idx="65">
                  <c:v>0.562131826825424</c:v>
                </c:pt>
                <c:pt idx="66">
                  <c:v>1.57708317486564</c:v>
                </c:pt>
                <c:pt idx="67">
                  <c:v>1.4926492201263</c:v>
                </c:pt>
                <c:pt idx="68">
                  <c:v>1.63037974078896</c:v>
                </c:pt>
                <c:pt idx="69">
                  <c:v>1.52796728559532</c:v>
                </c:pt>
                <c:pt idx="70">
                  <c:v>1.37341717908426</c:v>
                </c:pt>
                <c:pt idx="71">
                  <c:v>1.26381332370891</c:v>
                </c:pt>
                <c:pt idx="72">
                  <c:v>0.828928604902575</c:v>
                </c:pt>
                <c:pt idx="73">
                  <c:v>0.633991869765161</c:v>
                </c:pt>
                <c:pt idx="74">
                  <c:v>0.320397031629463</c:v>
                </c:pt>
                <c:pt idx="75">
                  <c:v>0.164948000095684</c:v>
                </c:pt>
                <c:pt idx="76">
                  <c:v>-1.52332691750322</c:v>
                </c:pt>
                <c:pt idx="77">
                  <c:v>-1.67428132392343</c:v>
                </c:pt>
                <c:pt idx="78">
                  <c:v>-1.80815615491206</c:v>
                </c:pt>
                <c:pt idx="79">
                  <c:v>-1.95185416375476</c:v>
                </c:pt>
                <c:pt idx="80">
                  <c:v>-1.33596052840389</c:v>
                </c:pt>
                <c:pt idx="81">
                  <c:v>-1.17498795194224</c:v>
                </c:pt>
                <c:pt idx="82">
                  <c:v>-0.827937895778736</c:v>
                </c:pt>
                <c:pt idx="83">
                  <c:v>0.0845359996720572</c:v>
                </c:pt>
                <c:pt idx="84">
                  <c:v>-0.0628227066572919</c:v>
                </c:pt>
                <c:pt idx="85">
                  <c:v>0.15767391349088</c:v>
                </c:pt>
                <c:pt idx="86">
                  <c:v>0.306960464657245</c:v>
                </c:pt>
                <c:pt idx="87">
                  <c:v>0.562385165899687</c:v>
                </c:pt>
                <c:pt idx="88">
                  <c:v>0.433004960024623</c:v>
                </c:pt>
                <c:pt idx="89">
                  <c:v>0.308119379263131</c:v>
                </c:pt>
                <c:pt idx="90">
                  <c:v>0.0457632674221451</c:v>
                </c:pt>
                <c:pt idx="91">
                  <c:v>0.760125827688571</c:v>
                </c:pt>
                <c:pt idx="92">
                  <c:v>0.450126689643729</c:v>
                </c:pt>
                <c:pt idx="93">
                  <c:v>0.289284107973665</c:v>
                </c:pt>
                <c:pt idx="94">
                  <c:v>-0.0081300797531773</c:v>
                </c:pt>
                <c:pt idx="95">
                  <c:v>-0.163579111286955</c:v>
                </c:pt>
                <c:pt idx="96">
                  <c:v>-0.316331367752591</c:v>
                </c:pt>
                <c:pt idx="97">
                  <c:v>-0.460993299013798</c:v>
                </c:pt>
                <c:pt idx="98">
                  <c:v>-0.619139105615719</c:v>
                </c:pt>
                <c:pt idx="99">
                  <c:v>-0.905766193069991</c:v>
                </c:pt>
                <c:pt idx="100">
                  <c:v>-1.32357133644475</c:v>
                </c:pt>
                <c:pt idx="101">
                  <c:v>-1.47272789281953</c:v>
                </c:pt>
                <c:pt idx="102">
                  <c:v>-1.57783712308131</c:v>
                </c:pt>
                <c:pt idx="103">
                  <c:v>-1.86086851044472</c:v>
                </c:pt>
                <c:pt idx="104">
                  <c:v>-1.99564226645607</c:v>
                </c:pt>
                <c:pt idx="105">
                  <c:v>-2.12682032237657</c:v>
                </c:pt>
                <c:pt idx="106">
                  <c:v>2.3811949415941</c:v>
                </c:pt>
                <c:pt idx="107">
                  <c:v>2.2374319353556</c:v>
                </c:pt>
                <c:pt idx="108">
                  <c:v>1.79895151645841</c:v>
                </c:pt>
                <c:pt idx="109">
                  <c:v>1.53659540461743</c:v>
                </c:pt>
                <c:pt idx="110">
                  <c:v>1.38204529810636</c:v>
                </c:pt>
                <c:pt idx="111">
                  <c:v>1.23288874173158</c:v>
                </c:pt>
                <c:pt idx="112">
                  <c:v>0.936373479027456</c:v>
                </c:pt>
                <c:pt idx="113">
                  <c:v>0.619182940800899</c:v>
                </c:pt>
                <c:pt idx="114">
                  <c:v>0.461936059221693</c:v>
                </c:pt>
                <c:pt idx="115">
                  <c:v>0.188792847108136</c:v>
                </c:pt>
                <c:pt idx="116">
                  <c:v>-0.0933396152325632</c:v>
                </c:pt>
                <c:pt idx="117">
                  <c:v>-0.237102621471056</c:v>
                </c:pt>
                <c:pt idx="118">
                  <c:v>-0.397046278118406</c:v>
                </c:pt>
                <c:pt idx="119">
                  <c:v>-0.71603466639039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34240"/>
        <c:axId val="68257280"/>
      </c:scatterChart>
      <c:valAx>
        <c:axId val="68234240"/>
        <c:scaling>
          <c:orientation val="minMax"/>
          <c:max val="10000"/>
          <c:min val="-400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Pred(Target)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257280"/>
        <c:crosses val="autoZero"/>
        <c:crossBetween val="midCat"/>
      </c:valAx>
      <c:valAx>
        <c:axId val="68257280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residuals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234240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Pred(Target) / Target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"Active"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'Linear regression'!$E$109:$E$228</c:f>
              <c:numCache>
                <c:formatCode>0.0000</c:formatCode>
                <c:ptCount val="120"/>
                <c:pt idx="0">
                  <c:v>3341.50128947756</c:v>
                </c:pt>
                <c:pt idx="1">
                  <c:v>3521.42898378559</c:v>
                </c:pt>
                <c:pt idx="2">
                  <c:v>3701.35667809362</c:v>
                </c:pt>
                <c:pt idx="3">
                  <c:v>3881.28437240166</c:v>
                </c:pt>
                <c:pt idx="4">
                  <c:v>4061.21206670969</c:v>
                </c:pt>
                <c:pt idx="5">
                  <c:v>4421.06745532576</c:v>
                </c:pt>
                <c:pt idx="6">
                  <c:v>4600.99514963379</c:v>
                </c:pt>
                <c:pt idx="7">
                  <c:v>4780.92284394183</c:v>
                </c:pt>
                <c:pt idx="8">
                  <c:v>4960.85053824986</c:v>
                </c:pt>
                <c:pt idx="9">
                  <c:v>5500.63362117396</c:v>
                </c:pt>
                <c:pt idx="10">
                  <c:v>5680.561315482</c:v>
                </c:pt>
                <c:pt idx="11">
                  <c:v>5860.48900979003</c:v>
                </c:pt>
                <c:pt idx="12">
                  <c:v>6040.41670409806</c:v>
                </c:pt>
                <c:pt idx="13">
                  <c:v>6220.3443984061</c:v>
                </c:pt>
                <c:pt idx="14">
                  <c:v>6760.1274813302</c:v>
                </c:pt>
                <c:pt idx="15">
                  <c:v>6940.05517563823</c:v>
                </c:pt>
                <c:pt idx="16">
                  <c:v>71.0871333042905</c:v>
                </c:pt>
                <c:pt idx="17">
                  <c:v>251.014827612324</c:v>
                </c:pt>
                <c:pt idx="18">
                  <c:v>430.942521920358</c:v>
                </c:pt>
                <c:pt idx="19">
                  <c:v>790.797910536426</c:v>
                </c:pt>
                <c:pt idx="20">
                  <c:v>970.72560484446</c:v>
                </c:pt>
                <c:pt idx="21">
                  <c:v>1510.50868776856</c:v>
                </c:pt>
                <c:pt idx="22">
                  <c:v>1690.43638207659</c:v>
                </c:pt>
                <c:pt idx="23">
                  <c:v>1870.36407638463</c:v>
                </c:pt>
                <c:pt idx="24">
                  <c:v>2050.29177069266</c:v>
                </c:pt>
                <c:pt idx="25">
                  <c:v>2230.2194650007</c:v>
                </c:pt>
                <c:pt idx="26">
                  <c:v>2410.14715930873</c:v>
                </c:pt>
                <c:pt idx="27">
                  <c:v>2590.07485361676</c:v>
                </c:pt>
                <c:pt idx="28">
                  <c:v>2770.0025479248</c:v>
                </c:pt>
                <c:pt idx="29">
                  <c:v>3309.7856308489</c:v>
                </c:pt>
                <c:pt idx="30">
                  <c:v>3489.71332515693</c:v>
                </c:pt>
                <c:pt idx="31">
                  <c:v>3669.64101946497</c:v>
                </c:pt>
                <c:pt idx="32">
                  <c:v>6238.91673912344</c:v>
                </c:pt>
                <c:pt idx="33">
                  <c:v>6418.84443343147</c:v>
                </c:pt>
                <c:pt idx="34">
                  <c:v>6598.7721277395</c:v>
                </c:pt>
                <c:pt idx="35">
                  <c:v>6958.62751635557</c:v>
                </c:pt>
                <c:pt idx="36">
                  <c:v>7138.55521066361</c:v>
                </c:pt>
                <c:pt idx="37">
                  <c:v>7318.48290497164</c:v>
                </c:pt>
                <c:pt idx="38">
                  <c:v>7678.33829358771</c:v>
                </c:pt>
                <c:pt idx="39">
                  <c:v>7858.26598789574</c:v>
                </c:pt>
                <c:pt idx="40">
                  <c:v>8218.12137651181</c:v>
                </c:pt>
                <c:pt idx="41">
                  <c:v>8577.97676512788</c:v>
                </c:pt>
                <c:pt idx="42">
                  <c:v>8757.90445943591</c:v>
                </c:pt>
                <c:pt idx="43">
                  <c:v>8937.83215374394</c:v>
                </c:pt>
                <c:pt idx="44">
                  <c:v>9297.68754236001</c:v>
                </c:pt>
                <c:pt idx="45">
                  <c:v>9477.61523666805</c:v>
                </c:pt>
                <c:pt idx="46">
                  <c:v>9657.54293097608</c:v>
                </c:pt>
                <c:pt idx="47">
                  <c:v>9837.47062528411</c:v>
                </c:pt>
                <c:pt idx="48">
                  <c:v>3148.4302772582</c:v>
                </c:pt>
                <c:pt idx="49">
                  <c:v>3328.35797156624</c:v>
                </c:pt>
                <c:pt idx="50">
                  <c:v>3868.14105449034</c:v>
                </c:pt>
                <c:pt idx="51">
                  <c:v>4048.06874879837</c:v>
                </c:pt>
                <c:pt idx="52">
                  <c:v>4227.99644310641</c:v>
                </c:pt>
                <c:pt idx="53">
                  <c:v>4407.92413741444</c:v>
                </c:pt>
                <c:pt idx="54">
                  <c:v>4587.85183172247</c:v>
                </c:pt>
                <c:pt idx="55">
                  <c:v>5127.63491464658</c:v>
                </c:pt>
                <c:pt idx="56">
                  <c:v>5307.56260895461</c:v>
                </c:pt>
                <c:pt idx="57">
                  <c:v>5667.41799757068</c:v>
                </c:pt>
                <c:pt idx="58">
                  <c:v>6027.27338618675</c:v>
                </c:pt>
                <c:pt idx="59">
                  <c:v>6207.20108049478</c:v>
                </c:pt>
                <c:pt idx="60">
                  <c:v>6387.12877480281</c:v>
                </c:pt>
                <c:pt idx="61">
                  <c:v>6567.05646911085</c:v>
                </c:pt>
                <c:pt idx="62">
                  <c:v>6376.95138855331</c:v>
                </c:pt>
                <c:pt idx="63">
                  <c:v>6556.87908286134</c:v>
                </c:pt>
                <c:pt idx="64">
                  <c:v>6916.73447147741</c:v>
                </c:pt>
                <c:pt idx="65">
                  <c:v>7096.66216578544</c:v>
                </c:pt>
                <c:pt idx="66">
                  <c:v>7276.58986009348</c:v>
                </c:pt>
                <c:pt idx="67">
                  <c:v>7456.51755440151</c:v>
                </c:pt>
                <c:pt idx="68">
                  <c:v>7996.30063732561</c:v>
                </c:pt>
                <c:pt idx="69">
                  <c:v>8176.22833163365</c:v>
                </c:pt>
                <c:pt idx="70">
                  <c:v>8356.15602594168</c:v>
                </c:pt>
                <c:pt idx="71">
                  <c:v>8536.08372024971</c:v>
                </c:pt>
                <c:pt idx="72">
                  <c:v>9075.86680317381</c:v>
                </c:pt>
                <c:pt idx="73">
                  <c:v>9435.72219178988</c:v>
                </c:pt>
                <c:pt idx="74">
                  <c:v>9795.57758040595</c:v>
                </c:pt>
                <c:pt idx="75">
                  <c:v>9975.50527471398</c:v>
                </c:pt>
                <c:pt idx="76">
                  <c:v>2926.60953807201</c:v>
                </c:pt>
                <c:pt idx="77">
                  <c:v>3106.53723238004</c:v>
                </c:pt>
                <c:pt idx="78">
                  <c:v>3286.46492668807</c:v>
                </c:pt>
                <c:pt idx="79">
                  <c:v>3646.32031530414</c:v>
                </c:pt>
                <c:pt idx="80">
                  <c:v>4006.17570392021</c:v>
                </c:pt>
                <c:pt idx="81">
                  <c:v>4186.10339822824</c:v>
                </c:pt>
                <c:pt idx="82">
                  <c:v>4366.03109253628</c:v>
                </c:pt>
                <c:pt idx="83">
                  <c:v>4545.95878684431</c:v>
                </c:pt>
                <c:pt idx="84">
                  <c:v>4725.88648115234</c:v>
                </c:pt>
                <c:pt idx="85">
                  <c:v>5445.59725838448</c:v>
                </c:pt>
                <c:pt idx="86">
                  <c:v>5625.52495269251</c:v>
                </c:pt>
                <c:pt idx="87">
                  <c:v>5985.38034130858</c:v>
                </c:pt>
                <c:pt idx="88">
                  <c:v>6165.30803561662</c:v>
                </c:pt>
                <c:pt idx="89">
                  <c:v>6345.23572992465</c:v>
                </c:pt>
                <c:pt idx="90">
                  <c:v>6705.09111854072</c:v>
                </c:pt>
                <c:pt idx="91">
                  <c:v>1251.40575300331</c:v>
                </c:pt>
                <c:pt idx="92">
                  <c:v>1611.26114161937</c:v>
                </c:pt>
                <c:pt idx="93">
                  <c:v>1791.18883592741</c:v>
                </c:pt>
                <c:pt idx="94">
                  <c:v>2151.04422454348</c:v>
                </c:pt>
                <c:pt idx="95">
                  <c:v>2330.97191885151</c:v>
                </c:pt>
                <c:pt idx="96">
                  <c:v>2510.89961315954</c:v>
                </c:pt>
                <c:pt idx="97">
                  <c:v>2690.82730746758</c:v>
                </c:pt>
                <c:pt idx="98">
                  <c:v>2870.75500177561</c:v>
                </c:pt>
                <c:pt idx="99">
                  <c:v>3230.61039039168</c:v>
                </c:pt>
                <c:pt idx="100">
                  <c:v>3770.39347331578</c:v>
                </c:pt>
                <c:pt idx="101">
                  <c:v>3950.32116762381</c:v>
                </c:pt>
                <c:pt idx="102">
                  <c:v>4130.24886193185</c:v>
                </c:pt>
                <c:pt idx="103">
                  <c:v>4490.10425054792</c:v>
                </c:pt>
                <c:pt idx="104">
                  <c:v>4670.03194485595</c:v>
                </c:pt>
                <c:pt idx="105">
                  <c:v>4849.95963916398</c:v>
                </c:pt>
                <c:pt idx="106">
                  <c:v>-2198.93609747799</c:v>
                </c:pt>
                <c:pt idx="107">
                  <c:v>-2019.00840316996</c:v>
                </c:pt>
                <c:pt idx="108">
                  <c:v>-1479.22532024586</c:v>
                </c:pt>
                <c:pt idx="109">
                  <c:v>-1119.36993162979</c:v>
                </c:pt>
                <c:pt idx="110">
                  <c:v>-939.442237321758</c:v>
                </c:pt>
                <c:pt idx="111">
                  <c:v>-759.514543013724</c:v>
                </c:pt>
                <c:pt idx="112">
                  <c:v>-399.659154397656</c:v>
                </c:pt>
                <c:pt idx="113">
                  <c:v>-39.8037657815876</c:v>
                </c:pt>
                <c:pt idx="114">
                  <c:v>140.123928526446</c:v>
                </c:pt>
                <c:pt idx="115">
                  <c:v>499.979317142514</c:v>
                </c:pt>
                <c:pt idx="116">
                  <c:v>859.834705758581</c:v>
                </c:pt>
                <c:pt idx="117">
                  <c:v>1039.76240006661</c:v>
                </c:pt>
                <c:pt idx="118">
                  <c:v>1219.69009437465</c:v>
                </c:pt>
                <c:pt idx="119">
                  <c:v>1579.54548299072</c:v>
                </c:pt>
              </c:numCache>
            </c:numRef>
          </c:xVal>
          <c:yVal>
            <c:numRef>
              <c:f>'Linear regression'!$D$109:$D$228</c:f>
              <c:numCache>
                <c:formatCode>0.0000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yVal>
          <c:smooth val="0"/>
        </c:ser>
        <c:ser>
          <c:idx val="1"/>
          <c:order val="1"/>
          <c:spPr>
            <a:ln w="12700" cap="rnd" cmpd="sng" algn="ctr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{-4000,12000}</c:f>
              <c:numCache>
                <c:formatCode>General</c:formatCode>
                <c:ptCount val="2"/>
                <c:pt idx="0">
                  <c:v>-4000</c:v>
                </c:pt>
                <c:pt idx="1">
                  <c:v>12000</c:v>
                </c:pt>
              </c:numCache>
            </c:numRef>
          </c:xVal>
          <c:yVal>
            <c:numRef>
              <c:f>{-4000,12000}</c:f>
              <c:numCache>
                <c:formatCode>General</c:formatCode>
                <c:ptCount val="2"/>
                <c:pt idx="0">
                  <c:v>-4000</c:v>
                </c:pt>
                <c:pt idx="1">
                  <c:v>12000</c:v>
                </c:pt>
              </c:numCache>
            </c:numRef>
          </c:yVal>
          <c:smooth val="0"/>
        </c:ser>
        <c:ser>
          <c:idx val="2"/>
          <c:order val="2"/>
          <c:spPr>
            <a:ln w="12700" cap="rnd" cmpd="sng" algn="ctr">
              <a:solidFill>
                <a:srgbClr val="B2B2B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'[0]Linear regression'!xdata1</c:f>
              <c:numCache>
                <c:formatCode>General</c:formatCode>
                <c:ptCount val="70"/>
                <c:pt idx="0">
                  <c:v>-4000</c:v>
                </c:pt>
                <c:pt idx="1">
                  <c:v>-3768.11594202899</c:v>
                </c:pt>
                <c:pt idx="2">
                  <c:v>-3536.23188405797</c:v>
                </c:pt>
                <c:pt idx="3">
                  <c:v>-3304.34782608696</c:v>
                </c:pt>
                <c:pt idx="4">
                  <c:v>-3072.46376811594</c:v>
                </c:pt>
                <c:pt idx="5">
                  <c:v>-2840.57971014493</c:v>
                </c:pt>
                <c:pt idx="6">
                  <c:v>-2608.69565217392</c:v>
                </c:pt>
                <c:pt idx="7">
                  <c:v>-2376.8115942029</c:v>
                </c:pt>
                <c:pt idx="8">
                  <c:v>-2144.92753623189</c:v>
                </c:pt>
                <c:pt idx="9">
                  <c:v>-1913.04347826087</c:v>
                </c:pt>
                <c:pt idx="10">
                  <c:v>-1681.15942028986</c:v>
                </c:pt>
                <c:pt idx="11">
                  <c:v>-1449.27536231885</c:v>
                </c:pt>
                <c:pt idx="12">
                  <c:v>-1217.39130434783</c:v>
                </c:pt>
                <c:pt idx="13">
                  <c:v>-985.507246376818</c:v>
                </c:pt>
                <c:pt idx="14">
                  <c:v>-753.623188405804</c:v>
                </c:pt>
                <c:pt idx="15">
                  <c:v>-521.73913043479</c:v>
                </c:pt>
                <c:pt idx="16">
                  <c:v>-289.855072463776</c:v>
                </c:pt>
                <c:pt idx="17">
                  <c:v>-57.9710144927622</c:v>
                </c:pt>
                <c:pt idx="18">
                  <c:v>173.913043478252</c:v>
                </c:pt>
                <c:pt idx="19">
                  <c:v>405.797101449266</c:v>
                </c:pt>
                <c:pt idx="20">
                  <c:v>637.68115942028</c:v>
                </c:pt>
                <c:pt idx="21">
                  <c:v>869.565217391294</c:v>
                </c:pt>
                <c:pt idx="22">
                  <c:v>1101.44927536231</c:v>
                </c:pt>
                <c:pt idx="23">
                  <c:v>1333.33333333332</c:v>
                </c:pt>
                <c:pt idx="24">
                  <c:v>1565.21739130434</c:v>
                </c:pt>
                <c:pt idx="25">
                  <c:v>1797.10144927535</c:v>
                </c:pt>
                <c:pt idx="26">
                  <c:v>2028.98550724636</c:v>
                </c:pt>
                <c:pt idx="27">
                  <c:v>2260.86956521738</c:v>
                </c:pt>
                <c:pt idx="28">
                  <c:v>2492.75362318839</c:v>
                </c:pt>
                <c:pt idx="29">
                  <c:v>2724.63768115941</c:v>
                </c:pt>
                <c:pt idx="30">
                  <c:v>2956.52173913042</c:v>
                </c:pt>
                <c:pt idx="31">
                  <c:v>3188.40579710143</c:v>
                </c:pt>
                <c:pt idx="32">
                  <c:v>3420.28985507245</c:v>
                </c:pt>
                <c:pt idx="33">
                  <c:v>3652.17391304346</c:v>
                </c:pt>
                <c:pt idx="34">
                  <c:v>3884.05797101448</c:v>
                </c:pt>
                <c:pt idx="35">
                  <c:v>4115.94202898549</c:v>
                </c:pt>
                <c:pt idx="36">
                  <c:v>4347.8260869565</c:v>
                </c:pt>
                <c:pt idx="37">
                  <c:v>4579.71014492752</c:v>
                </c:pt>
                <c:pt idx="38">
                  <c:v>4811.59420289853</c:v>
                </c:pt>
                <c:pt idx="39">
                  <c:v>5043.47826086955</c:v>
                </c:pt>
                <c:pt idx="40">
                  <c:v>5275.36231884056</c:v>
                </c:pt>
                <c:pt idx="41">
                  <c:v>5507.24637681157</c:v>
                </c:pt>
                <c:pt idx="42">
                  <c:v>5739.13043478259</c:v>
                </c:pt>
                <c:pt idx="43">
                  <c:v>5971.0144927536</c:v>
                </c:pt>
                <c:pt idx="44">
                  <c:v>6202.89855072462</c:v>
                </c:pt>
                <c:pt idx="45">
                  <c:v>6434.78260869563</c:v>
                </c:pt>
                <c:pt idx="46">
                  <c:v>6666.66666666664</c:v>
                </c:pt>
                <c:pt idx="47">
                  <c:v>6898.55072463766</c:v>
                </c:pt>
                <c:pt idx="48">
                  <c:v>7130.43478260867</c:v>
                </c:pt>
                <c:pt idx="49">
                  <c:v>7362.31884057968</c:v>
                </c:pt>
                <c:pt idx="50">
                  <c:v>7594.2028985507</c:v>
                </c:pt>
                <c:pt idx="51">
                  <c:v>7826.08695652171</c:v>
                </c:pt>
                <c:pt idx="52">
                  <c:v>8057.97101449273</c:v>
                </c:pt>
                <c:pt idx="53">
                  <c:v>8289.85507246374</c:v>
                </c:pt>
                <c:pt idx="54">
                  <c:v>8521.73913043475</c:v>
                </c:pt>
                <c:pt idx="55">
                  <c:v>8753.62318840577</c:v>
                </c:pt>
                <c:pt idx="56">
                  <c:v>8985.50724637678</c:v>
                </c:pt>
                <c:pt idx="57">
                  <c:v>9217.3913043478</c:v>
                </c:pt>
                <c:pt idx="58">
                  <c:v>9449.27536231881</c:v>
                </c:pt>
                <c:pt idx="59">
                  <c:v>9681.15942028982</c:v>
                </c:pt>
                <c:pt idx="60">
                  <c:v>9913.04347826084</c:v>
                </c:pt>
                <c:pt idx="61">
                  <c:v>10144.9275362319</c:v>
                </c:pt>
                <c:pt idx="62">
                  <c:v>10376.8115942029</c:v>
                </c:pt>
                <c:pt idx="63">
                  <c:v>10608.6956521739</c:v>
                </c:pt>
                <c:pt idx="64">
                  <c:v>10840.5797101449</c:v>
                </c:pt>
                <c:pt idx="65">
                  <c:v>11072.4637681159</c:v>
                </c:pt>
                <c:pt idx="66">
                  <c:v>11304.3478260869</c:v>
                </c:pt>
                <c:pt idx="67">
                  <c:v>11536.2318840579</c:v>
                </c:pt>
                <c:pt idx="68">
                  <c:v>11768.115942029</c:v>
                </c:pt>
                <c:pt idx="69">
                  <c:v>12000</c:v>
                </c:pt>
              </c:numCache>
            </c:numRef>
          </c:xVal>
          <c:yVal>
            <c:numRef>
              <c:f>'[0]Linear regression'!ydata1</c:f>
              <c:numCache>
                <c:formatCode>General</c:formatCode>
                <c:ptCount val="70"/>
                <c:pt idx="0">
                  <c:v>-6289.05439913499</c:v>
                </c:pt>
                <c:pt idx="1">
                  <c:v>-6053.07489327443</c:v>
                </c:pt>
                <c:pt idx="2">
                  <c:v>-5817.20217007807</c:v>
                </c:pt>
                <c:pt idx="3">
                  <c:v>-5581.43679068386</c:v>
                </c:pt>
                <c:pt idx="4">
                  <c:v>-5345.77930490881</c:v>
                </c:pt>
                <c:pt idx="5">
                  <c:v>-5110.23025089149</c:v>
                </c:pt>
                <c:pt idx="6">
                  <c:v>-4874.79015473796</c:v>
                </c:pt>
                <c:pt idx="7">
                  <c:v>-4639.45953017156</c:v>
                </c:pt>
                <c:pt idx="8">
                  <c:v>-4404.23887818722</c:v>
                </c:pt>
                <c:pt idx="9">
                  <c:v>-4169.1286867105</c:v>
                </c:pt>
                <c:pt idx="10">
                  <c:v>-3934.12943026223</c:v>
                </c:pt>
                <c:pt idx="11">
                  <c:v>-3699.24156962888</c:v>
                </c:pt>
                <c:pt idx="12">
                  <c:v>-3464.46555153944</c:v>
                </c:pt>
                <c:pt idx="13">
                  <c:v>-3229.80180834921</c:v>
                </c:pt>
                <c:pt idx="14">
                  <c:v>-2995.25075773093</c:v>
                </c:pt>
                <c:pt idx="15">
                  <c:v>-2760.81280237382</c:v>
                </c:pt>
                <c:pt idx="16">
                  <c:v>-2526.48832969105</c:v>
                </c:pt>
                <c:pt idx="17">
                  <c:v>-2292.27771153597</c:v>
                </c:pt>
                <c:pt idx="18">
                  <c:v>-2058.1813039277</c:v>
                </c:pt>
                <c:pt idx="19">
                  <c:v>-1824.19944678654</c:v>
                </c:pt>
                <c:pt idx="20">
                  <c:v>-1590.33246367946</c:v>
                </c:pt>
                <c:pt idx="21">
                  <c:v>-1356.58066157643</c:v>
                </c:pt>
                <c:pt idx="22">
                  <c:v>-1122.94433061761</c:v>
                </c:pt>
                <c:pt idx="23">
                  <c:v>-889.423743892221</c:v>
                </c:pt>
                <c:pt idx="24">
                  <c:v>-656.019157229068</c:v>
                </c:pt>
                <c:pt idx="25">
                  <c:v>-422.730808999453</c:v>
                </c:pt>
                <c:pt idx="26">
                  <c:v>-189.558919932571</c:v>
                </c:pt>
                <c:pt idx="27">
                  <c:v>43.496307056163</c:v>
                </c:pt>
                <c:pt idx="28">
                  <c:v>276.434687023578</c:v>
                </c:pt>
                <c:pt idx="29">
                  <c:v>509.256053143715</c:v>
                </c:pt>
                <c:pt idx="30">
                  <c:v>741.960256839027</c:v>
                </c:pt>
                <c:pt idx="31">
                  <c:v>974.54716789759</c:v>
                </c:pt>
                <c:pt idx="32">
                  <c:v>1207.01667457609</c:v>
                </c:pt>
                <c:pt idx="33">
                  <c:v>1439.3686836884</c:v>
                </c:pt>
                <c:pt idx="34">
                  <c:v>1671.60312067963</c:v>
                </c:pt>
                <c:pt idx="35">
                  <c:v>1903.71992968539</c:v>
                </c:pt>
                <c:pt idx="36">
                  <c:v>2135.71907357632</c:v>
                </c:pt>
                <c:pt idx="37">
                  <c:v>2367.6005339877</c:v>
                </c:pt>
                <c:pt idx="38">
                  <c:v>2599.36431133407</c:v>
                </c:pt>
                <c:pt idx="39">
                  <c:v>2831.01042480892</c:v>
                </c:pt>
                <c:pt idx="40">
                  <c:v>3062.53891236937</c:v>
                </c:pt>
                <c:pt idx="41">
                  <c:v>3293.94983070593</c:v>
                </c:pt>
                <c:pt idx="42">
                  <c:v>3525.24325519731</c:v>
                </c:pt>
                <c:pt idx="43">
                  <c:v>3756.41927985048</c:v>
                </c:pt>
                <c:pt idx="44">
                  <c:v>3987.478017226</c:v>
                </c:pt>
                <c:pt idx="45">
                  <c:v>4218.41959834882</c:v>
                </c:pt>
                <c:pt idx="46">
                  <c:v>4449.24417260459</c:v>
                </c:pt>
                <c:pt idx="47">
                  <c:v>4679.95190762191</c:v>
                </c:pt>
                <c:pt idx="48">
                  <c:v>4910.54298914048</c:v>
                </c:pt>
                <c:pt idx="49">
                  <c:v>5141.01762086552</c:v>
                </c:pt>
                <c:pt idx="50">
                  <c:v>5371.37602430873</c:v>
                </c:pt>
                <c:pt idx="51">
                  <c:v>5601.61843861603</c:v>
                </c:pt>
                <c:pt idx="52">
                  <c:v>5831.74512038244</c:v>
                </c:pt>
                <c:pt idx="53">
                  <c:v>6061.75634345435</c:v>
                </c:pt>
                <c:pt idx="54">
                  <c:v>6291.65239871963</c:v>
                </c:pt>
                <c:pt idx="55">
                  <c:v>6521.43359388587</c:v>
                </c:pt>
                <c:pt idx="56">
                  <c:v>6751.10025324718</c:v>
                </c:pt>
                <c:pt idx="57">
                  <c:v>6980.65271743996</c:v>
                </c:pt>
                <c:pt idx="58">
                  <c:v>7210.09134318797</c:v>
                </c:pt>
                <c:pt idx="59">
                  <c:v>7439.41650303728</c:v>
                </c:pt>
                <c:pt idx="60">
                  <c:v>7668.62858508147</c:v>
                </c:pt>
                <c:pt idx="61">
                  <c:v>7897.72799267741</c:v>
                </c:pt>
                <c:pt idx="62">
                  <c:v>8126.71514415241</c:v>
                </c:pt>
                <c:pt idx="63">
                  <c:v>8355.59047250282</c:v>
                </c:pt>
                <c:pt idx="64">
                  <c:v>8584.35442508494</c:v>
                </c:pt>
                <c:pt idx="65">
                  <c:v>8813.00746329837</c:v>
                </c:pt>
                <c:pt idx="66">
                  <c:v>9041.55006226268</c:v>
                </c:pt>
                <c:pt idx="67">
                  <c:v>9269.98271048748</c:v>
                </c:pt>
                <c:pt idx="68">
                  <c:v>9498.3059095368</c:v>
                </c:pt>
                <c:pt idx="69">
                  <c:v>9726.52017368794</c:v>
                </c:pt>
              </c:numCache>
            </c:numRef>
          </c:yVal>
          <c:smooth val="0"/>
        </c:ser>
        <c:ser>
          <c:idx val="3"/>
          <c:order val="3"/>
          <c:spPr>
            <a:ln w="12700" cap="rnd" cmpd="sng" algn="ctr">
              <a:solidFill>
                <a:srgbClr val="B2B2B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'[0]Linear regression'!xdata2</c:f>
              <c:numCache>
                <c:formatCode>General</c:formatCode>
                <c:ptCount val="70"/>
                <c:pt idx="0">
                  <c:v>-4000</c:v>
                </c:pt>
                <c:pt idx="1">
                  <c:v>-3768.11594202899</c:v>
                </c:pt>
                <c:pt idx="2">
                  <c:v>-3536.23188405797</c:v>
                </c:pt>
                <c:pt idx="3">
                  <c:v>-3304.34782608696</c:v>
                </c:pt>
                <c:pt idx="4">
                  <c:v>-3072.46376811594</c:v>
                </c:pt>
                <c:pt idx="5">
                  <c:v>-2840.57971014493</c:v>
                </c:pt>
                <c:pt idx="6">
                  <c:v>-2608.69565217392</c:v>
                </c:pt>
                <c:pt idx="7">
                  <c:v>-2376.8115942029</c:v>
                </c:pt>
                <c:pt idx="8">
                  <c:v>-2144.92753623189</c:v>
                </c:pt>
                <c:pt idx="9">
                  <c:v>-1913.04347826087</c:v>
                </c:pt>
                <c:pt idx="10">
                  <c:v>-1681.15942028986</c:v>
                </c:pt>
                <c:pt idx="11">
                  <c:v>-1449.27536231885</c:v>
                </c:pt>
                <c:pt idx="12">
                  <c:v>-1217.39130434783</c:v>
                </c:pt>
                <c:pt idx="13">
                  <c:v>-985.507246376818</c:v>
                </c:pt>
                <c:pt idx="14">
                  <c:v>-753.623188405804</c:v>
                </c:pt>
                <c:pt idx="15">
                  <c:v>-521.73913043479</c:v>
                </c:pt>
                <c:pt idx="16">
                  <c:v>-289.855072463776</c:v>
                </c:pt>
                <c:pt idx="17">
                  <c:v>-57.9710144927622</c:v>
                </c:pt>
                <c:pt idx="18">
                  <c:v>173.913043478252</c:v>
                </c:pt>
                <c:pt idx="19">
                  <c:v>405.797101449266</c:v>
                </c:pt>
                <c:pt idx="20">
                  <c:v>637.68115942028</c:v>
                </c:pt>
                <c:pt idx="21">
                  <c:v>869.565217391294</c:v>
                </c:pt>
                <c:pt idx="22">
                  <c:v>1101.44927536231</c:v>
                </c:pt>
                <c:pt idx="23">
                  <c:v>1333.33333333332</c:v>
                </c:pt>
                <c:pt idx="24">
                  <c:v>1565.21739130434</c:v>
                </c:pt>
                <c:pt idx="25">
                  <c:v>1797.10144927535</c:v>
                </c:pt>
                <c:pt idx="26">
                  <c:v>2028.98550724636</c:v>
                </c:pt>
                <c:pt idx="27">
                  <c:v>2260.86956521738</c:v>
                </c:pt>
                <c:pt idx="28">
                  <c:v>2492.75362318839</c:v>
                </c:pt>
                <c:pt idx="29">
                  <c:v>2724.63768115941</c:v>
                </c:pt>
                <c:pt idx="30">
                  <c:v>2956.52173913042</c:v>
                </c:pt>
                <c:pt idx="31">
                  <c:v>3188.40579710143</c:v>
                </c:pt>
                <c:pt idx="32">
                  <c:v>3420.28985507245</c:v>
                </c:pt>
                <c:pt idx="33">
                  <c:v>3652.17391304346</c:v>
                </c:pt>
                <c:pt idx="34">
                  <c:v>3884.05797101448</c:v>
                </c:pt>
                <c:pt idx="35">
                  <c:v>4115.94202898549</c:v>
                </c:pt>
                <c:pt idx="36">
                  <c:v>4347.8260869565</c:v>
                </c:pt>
                <c:pt idx="37">
                  <c:v>4579.71014492752</c:v>
                </c:pt>
                <c:pt idx="38">
                  <c:v>4811.59420289853</c:v>
                </c:pt>
                <c:pt idx="39">
                  <c:v>5043.47826086955</c:v>
                </c:pt>
                <c:pt idx="40">
                  <c:v>5275.36231884056</c:v>
                </c:pt>
                <c:pt idx="41">
                  <c:v>5507.24637681157</c:v>
                </c:pt>
                <c:pt idx="42">
                  <c:v>5739.13043478259</c:v>
                </c:pt>
                <c:pt idx="43">
                  <c:v>5971.0144927536</c:v>
                </c:pt>
                <c:pt idx="44">
                  <c:v>6202.89855072462</c:v>
                </c:pt>
                <c:pt idx="45">
                  <c:v>6434.78260869563</c:v>
                </c:pt>
                <c:pt idx="46">
                  <c:v>6666.66666666664</c:v>
                </c:pt>
                <c:pt idx="47">
                  <c:v>6898.55072463766</c:v>
                </c:pt>
                <c:pt idx="48">
                  <c:v>7130.43478260867</c:v>
                </c:pt>
                <c:pt idx="49">
                  <c:v>7362.31884057968</c:v>
                </c:pt>
                <c:pt idx="50">
                  <c:v>7594.2028985507</c:v>
                </c:pt>
                <c:pt idx="51">
                  <c:v>7826.08695652171</c:v>
                </c:pt>
                <c:pt idx="52">
                  <c:v>8057.97101449273</c:v>
                </c:pt>
                <c:pt idx="53">
                  <c:v>8289.85507246374</c:v>
                </c:pt>
                <c:pt idx="54">
                  <c:v>8521.73913043475</c:v>
                </c:pt>
                <c:pt idx="55">
                  <c:v>8753.62318840577</c:v>
                </c:pt>
                <c:pt idx="56">
                  <c:v>8985.50724637678</c:v>
                </c:pt>
                <c:pt idx="57">
                  <c:v>9217.3913043478</c:v>
                </c:pt>
                <c:pt idx="58">
                  <c:v>9449.27536231881</c:v>
                </c:pt>
                <c:pt idx="59">
                  <c:v>9681.15942028982</c:v>
                </c:pt>
                <c:pt idx="60">
                  <c:v>9913.04347826084</c:v>
                </c:pt>
                <c:pt idx="61">
                  <c:v>10144.9275362319</c:v>
                </c:pt>
                <c:pt idx="62">
                  <c:v>10376.8115942029</c:v>
                </c:pt>
                <c:pt idx="63">
                  <c:v>10608.6956521739</c:v>
                </c:pt>
                <c:pt idx="64">
                  <c:v>10840.5797101449</c:v>
                </c:pt>
                <c:pt idx="65">
                  <c:v>11072.4637681159</c:v>
                </c:pt>
                <c:pt idx="66">
                  <c:v>11304.3478260869</c:v>
                </c:pt>
                <c:pt idx="67">
                  <c:v>11536.2318840579</c:v>
                </c:pt>
                <c:pt idx="68">
                  <c:v>11768.115942029</c:v>
                </c:pt>
                <c:pt idx="69">
                  <c:v>12000</c:v>
                </c:pt>
              </c:numCache>
            </c:numRef>
          </c:xVal>
          <c:yVal>
            <c:numRef>
              <c:f>'[0]Linear regression'!ydata2</c:f>
              <c:numCache>
                <c:formatCode>General</c:formatCode>
                <c:ptCount val="70"/>
                <c:pt idx="0">
                  <c:v>-1710.94560086501</c:v>
                </c:pt>
                <c:pt idx="1">
                  <c:v>-1483.15699078354</c:v>
                </c:pt>
                <c:pt idx="2">
                  <c:v>-1255.26159803788</c:v>
                </c:pt>
                <c:pt idx="3">
                  <c:v>-1027.25886149006</c:v>
                </c:pt>
                <c:pt idx="4">
                  <c:v>-799.148231323079</c:v>
                </c:pt>
                <c:pt idx="5">
                  <c:v>-570.929169398369</c:v>
                </c:pt>
                <c:pt idx="6">
                  <c:v>-342.601149609878</c:v>
                </c:pt>
                <c:pt idx="7">
                  <c:v>-114.163658234243</c:v>
                </c:pt>
                <c:pt idx="8">
                  <c:v>114.38380572344</c:v>
                </c:pt>
                <c:pt idx="9">
                  <c:v>343.041730188756</c:v>
                </c:pt>
                <c:pt idx="10">
                  <c:v>571.810589682513</c:v>
                </c:pt>
                <c:pt idx="11">
                  <c:v>800.690844991186</c:v>
                </c:pt>
                <c:pt idx="12">
                  <c:v>1029.68294284378</c:v>
                </c:pt>
                <c:pt idx="13">
                  <c:v>1258.78731559558</c:v>
                </c:pt>
                <c:pt idx="14">
                  <c:v>1488.00438091932</c:v>
                </c:pt>
                <c:pt idx="15">
                  <c:v>1717.33454150424</c:v>
                </c:pt>
                <c:pt idx="16">
                  <c:v>1946.7781847635</c:v>
                </c:pt>
                <c:pt idx="17">
                  <c:v>2176.33568255044</c:v>
                </c:pt>
                <c:pt idx="18">
                  <c:v>2406.00739088421</c:v>
                </c:pt>
                <c:pt idx="19">
                  <c:v>2635.79364968507</c:v>
                </c:pt>
                <c:pt idx="20">
                  <c:v>2865.69478252002</c:v>
                </c:pt>
                <c:pt idx="21">
                  <c:v>3095.71109635901</c:v>
                </c:pt>
                <c:pt idx="22">
                  <c:v>3325.84288134223</c:v>
                </c:pt>
                <c:pt idx="23">
                  <c:v>3556.09041055886</c:v>
                </c:pt>
                <c:pt idx="24">
                  <c:v>3786.45393983774</c:v>
                </c:pt>
                <c:pt idx="25">
                  <c:v>4016.93370755015</c:v>
                </c:pt>
                <c:pt idx="26">
                  <c:v>4247.5299344253</c:v>
                </c:pt>
                <c:pt idx="27">
                  <c:v>4478.24282337859</c:v>
                </c:pt>
                <c:pt idx="28">
                  <c:v>4709.0725593532</c:v>
                </c:pt>
                <c:pt idx="29">
                  <c:v>4940.0193091751</c:v>
                </c:pt>
                <c:pt idx="30">
                  <c:v>5171.08322142181</c:v>
                </c:pt>
                <c:pt idx="31">
                  <c:v>5402.26442630528</c:v>
                </c:pt>
                <c:pt idx="32">
                  <c:v>5633.56303556881</c:v>
                </c:pt>
                <c:pt idx="33">
                  <c:v>5864.97914239852</c:v>
                </c:pt>
                <c:pt idx="34">
                  <c:v>6096.51282134932</c:v>
                </c:pt>
                <c:pt idx="35">
                  <c:v>6328.16412828559</c:v>
                </c:pt>
                <c:pt idx="36">
                  <c:v>6559.93310033669</c:v>
                </c:pt>
                <c:pt idx="37">
                  <c:v>6791.81975586734</c:v>
                </c:pt>
                <c:pt idx="38">
                  <c:v>7023.824094463</c:v>
                </c:pt>
                <c:pt idx="39">
                  <c:v>7255.94609693017</c:v>
                </c:pt>
                <c:pt idx="40">
                  <c:v>7488.18572531175</c:v>
                </c:pt>
                <c:pt idx="41">
                  <c:v>7720.54292291722</c:v>
                </c:pt>
                <c:pt idx="42">
                  <c:v>7953.01761436787</c:v>
                </c:pt>
                <c:pt idx="43">
                  <c:v>8185.60970565673</c:v>
                </c:pt>
                <c:pt idx="44">
                  <c:v>8418.31908422323</c:v>
                </c:pt>
                <c:pt idx="45">
                  <c:v>8651.14561904245</c:v>
                </c:pt>
                <c:pt idx="46">
                  <c:v>8884.0891607287</c:v>
                </c:pt>
                <c:pt idx="47">
                  <c:v>9117.1495416534</c:v>
                </c:pt>
                <c:pt idx="48">
                  <c:v>9350.32657607686</c:v>
                </c:pt>
                <c:pt idx="49">
                  <c:v>9583.62006029385</c:v>
                </c:pt>
                <c:pt idx="50">
                  <c:v>9817.02977279267</c:v>
                </c:pt>
                <c:pt idx="51">
                  <c:v>10050.5554744274</c:v>
                </c:pt>
                <c:pt idx="52">
                  <c:v>10284.196908603</c:v>
                </c:pt>
                <c:pt idx="53">
                  <c:v>10517.9538014731</c:v>
                </c:pt>
                <c:pt idx="54">
                  <c:v>10751.8258621499</c:v>
                </c:pt>
                <c:pt idx="55">
                  <c:v>10985.8127829257</c:v>
                </c:pt>
                <c:pt idx="56">
                  <c:v>11219.9142395064</c:v>
                </c:pt>
                <c:pt idx="57">
                  <c:v>11454.1298912556</c:v>
                </c:pt>
                <c:pt idx="58">
                  <c:v>11688.4593814497</c:v>
                </c:pt>
                <c:pt idx="59">
                  <c:v>11922.9023375424</c:v>
                </c:pt>
                <c:pt idx="60">
                  <c:v>12157.4583714402</c:v>
                </c:pt>
                <c:pt idx="61">
                  <c:v>12392.1270797863</c:v>
                </c:pt>
                <c:pt idx="62">
                  <c:v>12626.9080442533</c:v>
                </c:pt>
                <c:pt idx="63">
                  <c:v>12861.8008318449</c:v>
                </c:pt>
                <c:pt idx="64">
                  <c:v>13096.8049952049</c:v>
                </c:pt>
                <c:pt idx="65">
                  <c:v>13331.9200729334</c:v>
                </c:pt>
                <c:pt idx="66">
                  <c:v>13567.1455899112</c:v>
                </c:pt>
                <c:pt idx="67">
                  <c:v>13802.4810576284</c:v>
                </c:pt>
                <c:pt idx="68">
                  <c:v>14037.9259745211</c:v>
                </c:pt>
                <c:pt idx="69">
                  <c:v>14273.479826312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00160"/>
        <c:axId val="68310528"/>
      </c:scatterChart>
      <c:valAx>
        <c:axId val="68300160"/>
        <c:scaling>
          <c:orientation val="minMax"/>
          <c:max val="12000"/>
          <c:min val="-400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Pred(Target)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310528"/>
        <c:crosses val="autoZero"/>
        <c:crossBetween val="midCat"/>
        <c:majorUnit val="2000"/>
      </c:valAx>
      <c:valAx>
        <c:axId val="68310528"/>
        <c:scaling>
          <c:orientation val="minMax"/>
          <c:max val="12000"/>
          <c:min val="-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300160"/>
        <c:crosses val="autoZero"/>
        <c:crossBetween val="midCat"/>
        <c:majorUnit val="2000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Standardized residuals / Target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"Active"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'Linear regression'!$B$109:$B$228</c:f>
              <c:strCache>
                <c:ptCount val="120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</c:strCache>
            </c:strRef>
          </c:cat>
          <c:val>
            <c:numRef>
              <c:f>'Linear regression'!$G$109:$G$228</c:f>
              <c:numCache>
                <c:formatCode>0.0000</c:formatCode>
                <c:ptCount val="120"/>
                <c:pt idx="0">
                  <c:v>-0.841844442915571</c:v>
                </c:pt>
                <c:pt idx="1">
                  <c:v>-0.288041631527778</c:v>
                </c:pt>
                <c:pt idx="2">
                  <c:v>-0.396746561880413</c:v>
                </c:pt>
                <c:pt idx="3">
                  <c:v>-0.520733217619192</c:v>
                </c:pt>
                <c:pt idx="4">
                  <c:v>-0.574603721586256</c:v>
                </c:pt>
                <c:pt idx="5">
                  <c:v>0.363105071896331</c:v>
                </c:pt>
                <c:pt idx="6">
                  <c:v>0.237320566112123</c:v>
                </c:pt>
                <c:pt idx="7">
                  <c:v>0.0926586348509166</c:v>
                </c:pt>
                <c:pt idx="8">
                  <c:v>0.49364419237728</c:v>
                </c:pt>
                <c:pt idx="9">
                  <c:v>0.127077775297231</c:v>
                </c:pt>
                <c:pt idx="10">
                  <c:v>-0.00499920564597514</c:v>
                </c:pt>
                <c:pt idx="11">
                  <c:v>-0.15775146211161</c:v>
                </c:pt>
                <c:pt idx="12">
                  <c:v>-0.307806943509103</c:v>
                </c:pt>
                <c:pt idx="13">
                  <c:v>-0.415612948839024</c:v>
                </c:pt>
                <c:pt idx="14">
                  <c:v>-0.816338516782216</c:v>
                </c:pt>
                <c:pt idx="15">
                  <c:v>-0.971787548315995</c:v>
                </c:pt>
                <c:pt idx="16">
                  <c:v>0.784683218522032</c:v>
                </c:pt>
                <c:pt idx="17">
                  <c:v>0.650808387533398</c:v>
                </c:pt>
                <c:pt idx="18">
                  <c:v>0.499853981113191</c:v>
                </c:pt>
                <c:pt idx="19">
                  <c:v>0.255476369726491</c:v>
                </c:pt>
                <c:pt idx="20">
                  <c:v>0.224078991327284</c:v>
                </c:pt>
                <c:pt idx="21">
                  <c:v>0.565865492146092</c:v>
                </c:pt>
                <c:pt idx="22">
                  <c:v>0.418506785816742</c:v>
                </c:pt>
                <c:pt idx="23">
                  <c:v>0.305307230350535</c:v>
                </c:pt>
                <c:pt idx="24">
                  <c:v>0.201995850134186</c:v>
                </c:pt>
                <c:pt idx="25">
                  <c:v>0.0717167192364073</c:v>
                </c:pt>
                <c:pt idx="26">
                  <c:v>-0.080136612206514</c:v>
                </c:pt>
                <c:pt idx="27">
                  <c:v>0.167132766435708</c:v>
                </c:pt>
                <c:pt idx="28">
                  <c:v>0.388333319419214</c:v>
                </c:pt>
                <c:pt idx="29">
                  <c:v>-0.0195836487056916</c:v>
                </c:pt>
                <c:pt idx="30">
                  <c:v>-0.139974604353612</c:v>
                </c:pt>
                <c:pt idx="31">
                  <c:v>-0.311604286296248</c:v>
                </c:pt>
                <c:pt idx="32">
                  <c:v>-1.8283386509155</c:v>
                </c:pt>
                <c:pt idx="33">
                  <c:v>-1.09475083498485</c:v>
                </c:pt>
                <c:pt idx="34">
                  <c:v>-0.72792442832163</c:v>
                </c:pt>
                <c:pt idx="35">
                  <c:v>0.416537120385243</c:v>
                </c:pt>
                <c:pt idx="36">
                  <c:v>1.43148846842546</c:v>
                </c:pt>
                <c:pt idx="37">
                  <c:v>1.34076203852711</c:v>
                </c:pt>
                <c:pt idx="38">
                  <c:v>1.08379947682241</c:v>
                </c:pt>
                <c:pt idx="39">
                  <c:v>1.48478503434878</c:v>
                </c:pt>
                <c:pt idx="40">
                  <c:v>1.22782247264408</c:v>
                </c:pt>
                <c:pt idx="41">
                  <c:v>0.986141636325523</c:v>
                </c:pt>
                <c:pt idx="42">
                  <c:v>0.836086154928031</c:v>
                </c:pt>
                <c:pt idx="43">
                  <c:v>0.683333898462394</c:v>
                </c:pt>
                <c:pt idx="44">
                  <c:v>0.48839716332498</c:v>
                </c:pt>
                <c:pt idx="45">
                  <c:v>0.331150281745774</c:v>
                </c:pt>
                <c:pt idx="46">
                  <c:v>0.174802325189282</c:v>
                </c:pt>
                <c:pt idx="47">
                  <c:v>0.0193532936555028</c:v>
                </c:pt>
                <c:pt idx="48">
                  <c:v>-1.95375086135225</c:v>
                </c:pt>
                <c:pt idx="49">
                  <c:v>-2.0570622415686</c:v>
                </c:pt>
                <c:pt idx="50">
                  <c:v>-1.48155523484407</c:v>
                </c:pt>
                <c:pt idx="51">
                  <c:v>-1.23158908113371</c:v>
                </c:pt>
                <c:pt idx="52">
                  <c:v>-0.973532602218917</c:v>
                </c:pt>
                <c:pt idx="53">
                  <c:v>-0.061058706768124</c:v>
                </c:pt>
                <c:pt idx="54">
                  <c:v>-0.208417413097473</c:v>
                </c:pt>
                <c:pt idx="55">
                  <c:v>0.163932538493619</c:v>
                </c:pt>
                <c:pt idx="56">
                  <c:v>0.0120792070506984</c:v>
                </c:pt>
                <c:pt idx="57">
                  <c:v>0.537181415107427</c:v>
                </c:pt>
                <c:pt idx="58">
                  <c:v>0.287410253584441</c:v>
                </c:pt>
                <c:pt idx="59">
                  <c:v>0.170614998027378</c:v>
                </c:pt>
                <c:pt idx="60">
                  <c:v>0.0421337171750289</c:v>
                </c:pt>
                <c:pt idx="61">
                  <c:v>-0.0998314390180361</c:v>
                </c:pt>
                <c:pt idx="62">
                  <c:v>-1.68274394447532</c:v>
                </c:pt>
                <c:pt idx="63">
                  <c:v>-0.949156128544669</c:v>
                </c:pt>
                <c:pt idx="64">
                  <c:v>-0.282922691921798</c:v>
                </c:pt>
                <c:pt idx="65">
                  <c:v>0.562131826825424</c:v>
                </c:pt>
                <c:pt idx="66">
                  <c:v>1.57708317486564</c:v>
                </c:pt>
                <c:pt idx="67">
                  <c:v>1.4926492201263</c:v>
                </c:pt>
                <c:pt idx="68">
                  <c:v>1.63037974078896</c:v>
                </c:pt>
                <c:pt idx="69">
                  <c:v>1.52796728559532</c:v>
                </c:pt>
                <c:pt idx="70">
                  <c:v>1.37341717908426</c:v>
                </c:pt>
                <c:pt idx="71">
                  <c:v>1.26381332370891</c:v>
                </c:pt>
                <c:pt idx="72">
                  <c:v>0.828928604902575</c:v>
                </c:pt>
                <c:pt idx="73">
                  <c:v>0.633991869765161</c:v>
                </c:pt>
                <c:pt idx="74">
                  <c:v>0.320397031629463</c:v>
                </c:pt>
                <c:pt idx="75">
                  <c:v>0.164948000095684</c:v>
                </c:pt>
                <c:pt idx="76">
                  <c:v>-1.52332691750322</c:v>
                </c:pt>
                <c:pt idx="77">
                  <c:v>-1.67428132392343</c:v>
                </c:pt>
                <c:pt idx="78">
                  <c:v>-1.80815615491206</c:v>
                </c:pt>
                <c:pt idx="79">
                  <c:v>-1.95185416375476</c:v>
                </c:pt>
                <c:pt idx="80">
                  <c:v>-1.33596052840389</c:v>
                </c:pt>
                <c:pt idx="81">
                  <c:v>-1.17498795194224</c:v>
                </c:pt>
                <c:pt idx="82">
                  <c:v>-0.827937895778736</c:v>
                </c:pt>
                <c:pt idx="83">
                  <c:v>0.0845359996720572</c:v>
                </c:pt>
                <c:pt idx="84">
                  <c:v>-0.0628227066572919</c:v>
                </c:pt>
                <c:pt idx="85">
                  <c:v>0.15767391349088</c:v>
                </c:pt>
                <c:pt idx="86">
                  <c:v>0.306960464657245</c:v>
                </c:pt>
                <c:pt idx="87">
                  <c:v>0.562385165899687</c:v>
                </c:pt>
                <c:pt idx="88">
                  <c:v>0.433004960024623</c:v>
                </c:pt>
                <c:pt idx="89">
                  <c:v>0.308119379263131</c:v>
                </c:pt>
                <c:pt idx="90">
                  <c:v>0.0457632674221451</c:v>
                </c:pt>
                <c:pt idx="91">
                  <c:v>0.760125827688571</c:v>
                </c:pt>
                <c:pt idx="92">
                  <c:v>0.450126689643729</c:v>
                </c:pt>
                <c:pt idx="93">
                  <c:v>0.289284107973665</c:v>
                </c:pt>
                <c:pt idx="94">
                  <c:v>-0.0081300797531773</c:v>
                </c:pt>
                <c:pt idx="95">
                  <c:v>-0.163579111286955</c:v>
                </c:pt>
                <c:pt idx="96">
                  <c:v>-0.316331367752591</c:v>
                </c:pt>
                <c:pt idx="97">
                  <c:v>-0.460993299013798</c:v>
                </c:pt>
                <c:pt idx="98">
                  <c:v>-0.619139105615719</c:v>
                </c:pt>
                <c:pt idx="99">
                  <c:v>-0.905766193069991</c:v>
                </c:pt>
                <c:pt idx="100">
                  <c:v>-1.32357133644475</c:v>
                </c:pt>
                <c:pt idx="101">
                  <c:v>-1.47272789281953</c:v>
                </c:pt>
                <c:pt idx="102">
                  <c:v>-1.57783712308131</c:v>
                </c:pt>
                <c:pt idx="103">
                  <c:v>-1.86086851044472</c:v>
                </c:pt>
                <c:pt idx="104">
                  <c:v>-1.99564226645607</c:v>
                </c:pt>
                <c:pt idx="105">
                  <c:v>-2.12682032237657</c:v>
                </c:pt>
                <c:pt idx="106">
                  <c:v>2.3811949415941</c:v>
                </c:pt>
                <c:pt idx="107">
                  <c:v>2.2374319353556</c:v>
                </c:pt>
                <c:pt idx="108">
                  <c:v>1.79895151645841</c:v>
                </c:pt>
                <c:pt idx="109">
                  <c:v>1.53659540461743</c:v>
                </c:pt>
                <c:pt idx="110">
                  <c:v>1.38204529810636</c:v>
                </c:pt>
                <c:pt idx="111">
                  <c:v>1.23288874173158</c:v>
                </c:pt>
                <c:pt idx="112">
                  <c:v>0.936373479027456</c:v>
                </c:pt>
                <c:pt idx="113">
                  <c:v>0.619182940800899</c:v>
                </c:pt>
                <c:pt idx="114">
                  <c:v>0.461936059221693</c:v>
                </c:pt>
                <c:pt idx="115">
                  <c:v>0.188792847108136</c:v>
                </c:pt>
                <c:pt idx="116">
                  <c:v>-0.0933396152325632</c:v>
                </c:pt>
                <c:pt idx="117">
                  <c:v>-0.237102621471056</c:v>
                </c:pt>
                <c:pt idx="118">
                  <c:v>-0.397046278118406</c:v>
                </c:pt>
                <c:pt idx="119">
                  <c:v>-0.71603466639039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30624"/>
        <c:axId val="68332544"/>
      </c:barChart>
      <c:catAx>
        <c:axId val="6833062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Observations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332544"/>
        <c:crosses val="autoZero"/>
        <c:auto val="1"/>
        <c:lblAlgn val="ctr"/>
        <c:lblOffset val="100"/>
        <c:noMultiLvlLbl val="0"/>
      </c:catAx>
      <c:valAx>
        <c:axId val="68332544"/>
        <c:scaling>
          <c:orientation val="minMax"/>
          <c:max val="2.5"/>
          <c:min val="-2.5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residuals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8330624"/>
        <c:crosses val="autoZero"/>
        <c:crossBetween val="between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(Target)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{10147,10147,10147,5997.5,5997.5,5997.5,5997.5,3284,1591.5,1591.5,1591.5,490,490,490,490,1591.5,1591.5,1591.5,3284,3284,3284,5997.5,5997.5}</c:f>
              <c:numCache>
                <c:formatCode>General</c:formatCode>
                <c:ptCount val="23"/>
                <c:pt idx="0">
                  <c:v>10147</c:v>
                </c:pt>
                <c:pt idx="1">
                  <c:v>10147</c:v>
                </c:pt>
                <c:pt idx="2">
                  <c:v>10147</c:v>
                </c:pt>
                <c:pt idx="3">
                  <c:v>5997.5</c:v>
                </c:pt>
                <c:pt idx="4">
                  <c:v>5997.5</c:v>
                </c:pt>
                <c:pt idx="5">
                  <c:v>5997.5</c:v>
                </c:pt>
                <c:pt idx="6">
                  <c:v>5997.5</c:v>
                </c:pt>
                <c:pt idx="7">
                  <c:v>3284</c:v>
                </c:pt>
                <c:pt idx="8">
                  <c:v>1591.5</c:v>
                </c:pt>
                <c:pt idx="9">
                  <c:v>1591.5</c:v>
                </c:pt>
                <c:pt idx="10">
                  <c:v>1591.5</c:v>
                </c:pt>
                <c:pt idx="11">
                  <c:v>490</c:v>
                </c:pt>
                <c:pt idx="12">
                  <c:v>490</c:v>
                </c:pt>
                <c:pt idx="13">
                  <c:v>490</c:v>
                </c:pt>
                <c:pt idx="14">
                  <c:v>490</c:v>
                </c:pt>
                <c:pt idx="15">
                  <c:v>1591.5</c:v>
                </c:pt>
                <c:pt idx="16">
                  <c:v>1591.5</c:v>
                </c:pt>
                <c:pt idx="17">
                  <c:v>1591.5</c:v>
                </c:pt>
                <c:pt idx="18">
                  <c:v>3284</c:v>
                </c:pt>
                <c:pt idx="19">
                  <c:v>3284</c:v>
                </c:pt>
                <c:pt idx="20">
                  <c:v>3284</c:v>
                </c:pt>
                <c:pt idx="21">
                  <c:v>5997.5</c:v>
                </c:pt>
                <c:pt idx="22">
                  <c:v>5997.5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{4256.12500000001}</c:f>
              <c:numCache>
                <c:formatCode>General</c:formatCode>
                <c:ptCount val="1"/>
                <c:pt idx="0">
                  <c:v>4256.12500000001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{490,10147}</c:f>
              <c:numCache>
                <c:formatCode>General</c:formatCode>
                <c:ptCount val="2"/>
                <c:pt idx="0">
                  <c:v>490</c:v>
                </c:pt>
                <c:pt idx="1">
                  <c:v>10147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31424"/>
        <c:axId val="69033344"/>
      </c:scatterChart>
      <c:valAx>
        <c:axId val="69031424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033344"/>
        <c:crosses val="autoZero"/>
        <c:crossBetween val="midCat"/>
      </c:valAx>
      <c:valAx>
        <c:axId val="69033344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0314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(LR)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9615.24735000001,9615.24735000001,9615.24735000001,6431.09223750001,6431.09223750001,6431.09223750001,6431.09223750001,4275.3032,1835.863525,1835.863525,1835.863525,-1839.3881,-1839.3881,-1839.3881,-1839.3881,1835.863525,1835.863525,1835.863525,4275.3032,4275.3032,4275.3032,6431.09223750001,6431.09223750001}</c:f>
              <c:numCache>
                <c:formatCode>General</c:formatCode>
                <c:ptCount val="23"/>
                <c:pt idx="0">
                  <c:v>9615.24735000001</c:v>
                </c:pt>
                <c:pt idx="1">
                  <c:v>9615.24735000001</c:v>
                </c:pt>
                <c:pt idx="2">
                  <c:v>9615.24735000001</c:v>
                </c:pt>
                <c:pt idx="3">
                  <c:v>6431.09223750001</c:v>
                </c:pt>
                <c:pt idx="4">
                  <c:v>6431.09223750001</c:v>
                </c:pt>
                <c:pt idx="5">
                  <c:v>6431.09223750001</c:v>
                </c:pt>
                <c:pt idx="6">
                  <c:v>6431.09223750001</c:v>
                </c:pt>
                <c:pt idx="7">
                  <c:v>4275.3032</c:v>
                </c:pt>
                <c:pt idx="8">
                  <c:v>1835.863525</c:v>
                </c:pt>
                <c:pt idx="9">
                  <c:v>1835.863525</c:v>
                </c:pt>
                <c:pt idx="10">
                  <c:v>1835.863525</c:v>
                </c:pt>
                <c:pt idx="11">
                  <c:v>-1839.3881</c:v>
                </c:pt>
                <c:pt idx="12">
                  <c:v>-1839.3881</c:v>
                </c:pt>
                <c:pt idx="13">
                  <c:v>-1839.3881</c:v>
                </c:pt>
                <c:pt idx="14">
                  <c:v>-1839.3881</c:v>
                </c:pt>
                <c:pt idx="15">
                  <c:v>1835.863525</c:v>
                </c:pt>
                <c:pt idx="16">
                  <c:v>1835.863525</c:v>
                </c:pt>
                <c:pt idx="17">
                  <c:v>1835.863525</c:v>
                </c:pt>
                <c:pt idx="18">
                  <c:v>4275.3032</c:v>
                </c:pt>
                <c:pt idx="19">
                  <c:v>4275.3032</c:v>
                </c:pt>
                <c:pt idx="20">
                  <c:v>4275.3032</c:v>
                </c:pt>
                <c:pt idx="21">
                  <c:v>6431.09223750001</c:v>
                </c:pt>
                <c:pt idx="22">
                  <c:v>6431.09223750001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{4199.45793482143}</c:f>
              <c:numCache>
                <c:formatCode>General</c:formatCode>
                <c:ptCount val="1"/>
                <c:pt idx="0">
                  <c:v>4199.45793482143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{-1839.3881,9615.24735000001}</c:f>
              <c:numCache>
                <c:formatCode>General</c:formatCode>
                <c:ptCount val="2"/>
                <c:pt idx="0">
                  <c:v>-1839.3881</c:v>
                </c:pt>
                <c:pt idx="1">
                  <c:v>9615.24735000001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83520"/>
        <c:axId val="69085440"/>
      </c:scatterChart>
      <c:valAx>
        <c:axId val="69083520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085440"/>
        <c:crosses val="autoZero"/>
        <c:crossBetween val="midCat"/>
      </c:valAx>
      <c:valAx>
        <c:axId val="69085440"/>
        <c:scaling>
          <c:orientation val="minMax"/>
          <c:max val="10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LR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0835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(NLR)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11186.426506726,11186.426506726,11186.426506726,5794.61246311323,5794.61246311323,5794.61246311323,5794.61246311323,3564.26556767201,1926.72840088419,1926.72840088419,1926.72840088419,622.397877803258,622.397877803258,622.397877803258,622.397877803258,1926.72840088419,1926.72840088419,1926.72840088419,3564.26556767201,3564.26556767201,3564.26556767201,5794.61246311323,5794.61246311323}</c:f>
              <c:numCache>
                <c:formatCode>General</c:formatCode>
                <c:ptCount val="23"/>
                <c:pt idx="0">
                  <c:v>11186.426506726</c:v>
                </c:pt>
                <c:pt idx="1">
                  <c:v>11186.426506726</c:v>
                </c:pt>
                <c:pt idx="2">
                  <c:v>11186.426506726</c:v>
                </c:pt>
                <c:pt idx="3">
                  <c:v>5794.61246311323</c:v>
                </c:pt>
                <c:pt idx="4">
                  <c:v>5794.61246311323</c:v>
                </c:pt>
                <c:pt idx="5">
                  <c:v>5794.61246311323</c:v>
                </c:pt>
                <c:pt idx="6">
                  <c:v>5794.61246311323</c:v>
                </c:pt>
                <c:pt idx="7">
                  <c:v>3564.26556767201</c:v>
                </c:pt>
                <c:pt idx="8">
                  <c:v>1926.72840088419</c:v>
                </c:pt>
                <c:pt idx="9">
                  <c:v>1926.72840088419</c:v>
                </c:pt>
                <c:pt idx="10">
                  <c:v>1926.72840088419</c:v>
                </c:pt>
                <c:pt idx="11">
                  <c:v>622.397877803258</c:v>
                </c:pt>
                <c:pt idx="12">
                  <c:v>622.397877803258</c:v>
                </c:pt>
                <c:pt idx="13">
                  <c:v>622.397877803258</c:v>
                </c:pt>
                <c:pt idx="14">
                  <c:v>622.397877803258</c:v>
                </c:pt>
                <c:pt idx="15">
                  <c:v>1926.72840088419</c:v>
                </c:pt>
                <c:pt idx="16">
                  <c:v>1926.72840088419</c:v>
                </c:pt>
                <c:pt idx="17">
                  <c:v>1926.72840088419</c:v>
                </c:pt>
                <c:pt idx="18">
                  <c:v>3564.26556767201</c:v>
                </c:pt>
                <c:pt idx="19">
                  <c:v>3564.26556767201</c:v>
                </c:pt>
                <c:pt idx="20">
                  <c:v>3564.26556767201</c:v>
                </c:pt>
                <c:pt idx="21">
                  <c:v>5794.61246311323</c:v>
                </c:pt>
                <c:pt idx="22">
                  <c:v>5794.61246311323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{4271.50674843874}</c:f>
              <c:numCache>
                <c:formatCode>General</c:formatCode>
                <c:ptCount val="1"/>
                <c:pt idx="0">
                  <c:v>4271.50674843874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{622.397877803258,11186.426506726}</c:f>
              <c:numCache>
                <c:formatCode>General</c:formatCode>
                <c:ptCount val="2"/>
                <c:pt idx="0">
                  <c:v>622.397877803258</c:v>
                </c:pt>
                <c:pt idx="1">
                  <c:v>11186.426506726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06688"/>
        <c:axId val="69112960"/>
      </c:scatterChart>
      <c:valAx>
        <c:axId val="6910668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112960"/>
        <c:crosses val="autoZero"/>
        <c:crossBetween val="midCat"/>
      </c:valAx>
      <c:valAx>
        <c:axId val="69112960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NLR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10668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(M5P)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{10340.006,10340.006,10340.006,5914.584,5914.584,5914.584,5914.584,3637.854,1809.8985,1809.8985,1809.8985,-130.933,-130.933,-130.933,-130.933,1809.8985,1809.8985,1809.8985,3637.854,3637.854,3637.854,5914.584,5914.584}</c:f>
              <c:numCache>
                <c:formatCode>General</c:formatCode>
                <c:ptCount val="23"/>
                <c:pt idx="0">
                  <c:v>10340.006</c:v>
                </c:pt>
                <c:pt idx="1">
                  <c:v>10340.006</c:v>
                </c:pt>
                <c:pt idx="2">
                  <c:v>10340.006</c:v>
                </c:pt>
                <c:pt idx="3">
                  <c:v>5914.584</c:v>
                </c:pt>
                <c:pt idx="4">
                  <c:v>5914.584</c:v>
                </c:pt>
                <c:pt idx="5">
                  <c:v>5914.584</c:v>
                </c:pt>
                <c:pt idx="6">
                  <c:v>5914.584</c:v>
                </c:pt>
                <c:pt idx="7">
                  <c:v>3637.854</c:v>
                </c:pt>
                <c:pt idx="8">
                  <c:v>1809.8985</c:v>
                </c:pt>
                <c:pt idx="9">
                  <c:v>1809.8985</c:v>
                </c:pt>
                <c:pt idx="10">
                  <c:v>1809.8985</c:v>
                </c:pt>
                <c:pt idx="11">
                  <c:v>-130.933</c:v>
                </c:pt>
                <c:pt idx="12">
                  <c:v>-130.933</c:v>
                </c:pt>
                <c:pt idx="13">
                  <c:v>-130.933</c:v>
                </c:pt>
                <c:pt idx="14">
                  <c:v>-130.933</c:v>
                </c:pt>
                <c:pt idx="15">
                  <c:v>1809.8985</c:v>
                </c:pt>
                <c:pt idx="16">
                  <c:v>1809.8985</c:v>
                </c:pt>
                <c:pt idx="17">
                  <c:v>1809.8985</c:v>
                </c:pt>
                <c:pt idx="18">
                  <c:v>3637.854</c:v>
                </c:pt>
                <c:pt idx="19">
                  <c:v>3637.854</c:v>
                </c:pt>
                <c:pt idx="20">
                  <c:v>3637.854</c:v>
                </c:pt>
                <c:pt idx="21">
                  <c:v>5914.584</c:v>
                </c:pt>
                <c:pt idx="22">
                  <c:v>5914.584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{4222.92221428573}</c:f>
              <c:numCache>
                <c:formatCode>General</c:formatCode>
                <c:ptCount val="1"/>
                <c:pt idx="0">
                  <c:v>4222.92221428573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{-130.933,10340.006}</c:f>
              <c:numCache>
                <c:formatCode>General</c:formatCode>
                <c:ptCount val="2"/>
                <c:pt idx="0">
                  <c:v>-130.933</c:v>
                </c:pt>
                <c:pt idx="1">
                  <c:v>10340.006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34208"/>
        <c:axId val="76296192"/>
      </c:scatterChart>
      <c:valAx>
        <c:axId val="6913420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296192"/>
        <c:crosses val="autoZero"/>
        <c:crossBetween val="midCat"/>
      </c:valAx>
      <c:valAx>
        <c:axId val="76296192"/>
        <c:scaling>
          <c:orientation val="minMax"/>
          <c:max val="12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M5P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1342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(RF)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{10066.605,10066.605,10066.605,6274.5565,6274.5565,6274.5565,6274.5565,3659.1975,1658.49725,1658.49725,1658.49725,631.049999999999,631.049999999999,631.049999999999,631.049999999999,1658.49725,1658.49725,1658.49725,3659.1975,3659.1975,3659.1975,6274.5565,6274.5565}</c:f>
              <c:numCache>
                <c:formatCode>General</c:formatCode>
                <c:ptCount val="23"/>
                <c:pt idx="0">
                  <c:v>10066.605</c:v>
                </c:pt>
                <c:pt idx="1">
                  <c:v>10066.605</c:v>
                </c:pt>
                <c:pt idx="2">
                  <c:v>10066.605</c:v>
                </c:pt>
                <c:pt idx="3">
                  <c:v>6274.5565</c:v>
                </c:pt>
                <c:pt idx="4">
                  <c:v>6274.5565</c:v>
                </c:pt>
                <c:pt idx="5">
                  <c:v>6274.5565</c:v>
                </c:pt>
                <c:pt idx="6">
                  <c:v>6274.5565</c:v>
                </c:pt>
                <c:pt idx="7">
                  <c:v>3659.1975</c:v>
                </c:pt>
                <c:pt idx="8">
                  <c:v>1658.49725</c:v>
                </c:pt>
                <c:pt idx="9">
                  <c:v>1658.49725</c:v>
                </c:pt>
                <c:pt idx="10">
                  <c:v>1658.49725</c:v>
                </c:pt>
                <c:pt idx="11">
                  <c:v>631.049999999999</c:v>
                </c:pt>
                <c:pt idx="12">
                  <c:v>631.049999999999</c:v>
                </c:pt>
                <c:pt idx="13">
                  <c:v>631.049999999999</c:v>
                </c:pt>
                <c:pt idx="14">
                  <c:v>631.049999999999</c:v>
                </c:pt>
                <c:pt idx="15">
                  <c:v>1658.49725</c:v>
                </c:pt>
                <c:pt idx="16">
                  <c:v>1658.49725</c:v>
                </c:pt>
                <c:pt idx="17">
                  <c:v>1658.49725</c:v>
                </c:pt>
                <c:pt idx="18">
                  <c:v>3659.1975</c:v>
                </c:pt>
                <c:pt idx="19">
                  <c:v>3659.1975</c:v>
                </c:pt>
                <c:pt idx="20">
                  <c:v>3659.1975</c:v>
                </c:pt>
                <c:pt idx="21">
                  <c:v>6274.5565</c:v>
                </c:pt>
                <c:pt idx="22">
                  <c:v>6274.5565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{4340.90848214285}</c:f>
              <c:numCache>
                <c:formatCode>General</c:formatCode>
                <c:ptCount val="1"/>
                <c:pt idx="0">
                  <c:v>4340.90848214285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{631.049999999999,10066.605}</c:f>
              <c:numCache>
                <c:formatCode>General</c:formatCode>
                <c:ptCount val="2"/>
                <c:pt idx="0">
                  <c:v>631.049999999999</c:v>
                </c:pt>
                <c:pt idx="1">
                  <c:v>10066.605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21536"/>
        <c:axId val="76323456"/>
      </c:scatterChart>
      <c:valAx>
        <c:axId val="7632153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323456"/>
        <c:crosses val="autoZero"/>
        <c:crossBetween val="midCat"/>
      </c:valAx>
      <c:valAx>
        <c:axId val="7632345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RF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321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(RT)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{10150.667,10150.667,10150.667,6435.35,6435.35,6435.35,6435.35,4426.5,1411.25,1411.25,1411.25,576.332999999999,576.332999999999,576.332999999999,576.332999999999,1411.25,1411.25,1411.25,4426.5,4426.5,4426.5,6435.35,6435.35}</c:f>
              <c:numCache>
                <c:formatCode>General</c:formatCode>
                <c:ptCount val="23"/>
                <c:pt idx="0">
                  <c:v>10150.667</c:v>
                </c:pt>
                <c:pt idx="1">
                  <c:v>10150.667</c:v>
                </c:pt>
                <c:pt idx="2">
                  <c:v>10150.667</c:v>
                </c:pt>
                <c:pt idx="3">
                  <c:v>6435.35</c:v>
                </c:pt>
                <c:pt idx="4">
                  <c:v>6435.35</c:v>
                </c:pt>
                <c:pt idx="5">
                  <c:v>6435.35</c:v>
                </c:pt>
                <c:pt idx="6">
                  <c:v>6435.35</c:v>
                </c:pt>
                <c:pt idx="7">
                  <c:v>4426.5</c:v>
                </c:pt>
                <c:pt idx="8">
                  <c:v>1411.25</c:v>
                </c:pt>
                <c:pt idx="9">
                  <c:v>1411.25</c:v>
                </c:pt>
                <c:pt idx="10">
                  <c:v>1411.25</c:v>
                </c:pt>
                <c:pt idx="11">
                  <c:v>576.332999999999</c:v>
                </c:pt>
                <c:pt idx="12">
                  <c:v>576.332999999999</c:v>
                </c:pt>
                <c:pt idx="13">
                  <c:v>576.332999999999</c:v>
                </c:pt>
                <c:pt idx="14">
                  <c:v>576.332999999999</c:v>
                </c:pt>
                <c:pt idx="15">
                  <c:v>1411.25</c:v>
                </c:pt>
                <c:pt idx="16">
                  <c:v>1411.25</c:v>
                </c:pt>
                <c:pt idx="17">
                  <c:v>1411.25</c:v>
                </c:pt>
                <c:pt idx="18">
                  <c:v>4426.5</c:v>
                </c:pt>
                <c:pt idx="19">
                  <c:v>4426.5</c:v>
                </c:pt>
                <c:pt idx="20">
                  <c:v>4426.5</c:v>
                </c:pt>
                <c:pt idx="21">
                  <c:v>6435.35</c:v>
                </c:pt>
                <c:pt idx="22">
                  <c:v>6435.35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{4463.43610714286}</c:f>
              <c:numCache>
                <c:formatCode>General</c:formatCode>
                <c:ptCount val="1"/>
                <c:pt idx="0">
                  <c:v>4463.43610714286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{576.332999999999,10150.667}</c:f>
              <c:numCache>
                <c:formatCode>General</c:formatCode>
                <c:ptCount val="2"/>
                <c:pt idx="0">
                  <c:v>576.332999999999</c:v>
                </c:pt>
                <c:pt idx="1">
                  <c:v>10150.667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32416"/>
        <c:axId val="76350976"/>
      </c:scatterChart>
      <c:valAx>
        <c:axId val="7633241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350976"/>
        <c:crosses val="autoZero"/>
        <c:crossBetween val="midCat"/>
      </c:valAx>
      <c:valAx>
        <c:axId val="7635097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3324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(REP Tree)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{9853.824,9853.824,9853.824,6456.8,6456.8,6456.8,6456.8,3118,1206.833,1206.833,1206.833,540.332999999999,540.332999999999,540.332999999999,540.332999999999,1206.833,1206.833,1206.833,3118,3118,3118,6456.8,6456.8}</c:f>
              <c:numCache>
                <c:formatCode>General</c:formatCode>
                <c:ptCount val="23"/>
                <c:pt idx="0">
                  <c:v>9853.824</c:v>
                </c:pt>
                <c:pt idx="1">
                  <c:v>9853.824</c:v>
                </c:pt>
                <c:pt idx="2">
                  <c:v>9853.824</c:v>
                </c:pt>
                <c:pt idx="3">
                  <c:v>6456.8</c:v>
                </c:pt>
                <c:pt idx="4">
                  <c:v>6456.8</c:v>
                </c:pt>
                <c:pt idx="5">
                  <c:v>6456.8</c:v>
                </c:pt>
                <c:pt idx="6">
                  <c:v>6456.8</c:v>
                </c:pt>
                <c:pt idx="7">
                  <c:v>3118</c:v>
                </c:pt>
                <c:pt idx="8">
                  <c:v>1206.833</c:v>
                </c:pt>
                <c:pt idx="9">
                  <c:v>1206.833</c:v>
                </c:pt>
                <c:pt idx="10">
                  <c:v>1206.833</c:v>
                </c:pt>
                <c:pt idx="11">
                  <c:v>540.332999999999</c:v>
                </c:pt>
                <c:pt idx="12">
                  <c:v>540.332999999999</c:v>
                </c:pt>
                <c:pt idx="13">
                  <c:v>540.332999999999</c:v>
                </c:pt>
                <c:pt idx="14">
                  <c:v>540.332999999999</c:v>
                </c:pt>
                <c:pt idx="15">
                  <c:v>1206.833</c:v>
                </c:pt>
                <c:pt idx="16">
                  <c:v>1206.833</c:v>
                </c:pt>
                <c:pt idx="17">
                  <c:v>1206.833</c:v>
                </c:pt>
                <c:pt idx="18">
                  <c:v>3118</c:v>
                </c:pt>
                <c:pt idx="19">
                  <c:v>3118</c:v>
                </c:pt>
                <c:pt idx="20">
                  <c:v>3118</c:v>
                </c:pt>
                <c:pt idx="21">
                  <c:v>6456.8</c:v>
                </c:pt>
                <c:pt idx="22">
                  <c:v>6456.8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{4290.887125}</c:f>
              <c:numCache>
                <c:formatCode>General</c:formatCode>
                <c:ptCount val="1"/>
                <c:pt idx="0">
                  <c:v>4290.887125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{540.332999999999,9853.824}</c:f>
              <c:numCache>
                <c:formatCode>General</c:formatCode>
                <c:ptCount val="2"/>
                <c:pt idx="0">
                  <c:v>540.332999999999</c:v>
                </c:pt>
                <c:pt idx="1">
                  <c:v>9853.824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9936"/>
        <c:axId val="76386688"/>
      </c:scatterChart>
      <c:valAx>
        <c:axId val="7635993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386688"/>
        <c:crosses val="autoZero"/>
        <c:crossBetween val="midCat"/>
      </c:valAx>
      <c:valAx>
        <c:axId val="76386688"/>
        <c:scaling>
          <c:orientation val="minMax"/>
          <c:max val="10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 Tree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35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(GP_PUK)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{10171.906,10171.906,10171.906,6128.1975,6128.1975,6128.1975,6128.1975,3461.717,1509.189,1509.189,1509.189,461.405999999999,461.405999999999,461.405999999999,461.405999999999,1509.189,1509.189,1509.189,3461.717,3461.717,3461.717,6128.1975,6128.1975}</c:f>
              <c:numCache>
                <c:formatCode>General</c:formatCode>
                <c:ptCount val="23"/>
                <c:pt idx="0">
                  <c:v>10171.906</c:v>
                </c:pt>
                <c:pt idx="1">
                  <c:v>10171.906</c:v>
                </c:pt>
                <c:pt idx="2">
                  <c:v>10171.906</c:v>
                </c:pt>
                <c:pt idx="3">
                  <c:v>6128.1975</c:v>
                </c:pt>
                <c:pt idx="4">
                  <c:v>6128.1975</c:v>
                </c:pt>
                <c:pt idx="5">
                  <c:v>6128.1975</c:v>
                </c:pt>
                <c:pt idx="6">
                  <c:v>6128.1975</c:v>
                </c:pt>
                <c:pt idx="7">
                  <c:v>3461.717</c:v>
                </c:pt>
                <c:pt idx="8">
                  <c:v>1509.189</c:v>
                </c:pt>
                <c:pt idx="9">
                  <c:v>1509.189</c:v>
                </c:pt>
                <c:pt idx="10">
                  <c:v>1509.189</c:v>
                </c:pt>
                <c:pt idx="11">
                  <c:v>461.405999999999</c:v>
                </c:pt>
                <c:pt idx="12">
                  <c:v>461.405999999999</c:v>
                </c:pt>
                <c:pt idx="13">
                  <c:v>461.405999999999</c:v>
                </c:pt>
                <c:pt idx="14">
                  <c:v>461.405999999999</c:v>
                </c:pt>
                <c:pt idx="15">
                  <c:v>1509.189</c:v>
                </c:pt>
                <c:pt idx="16">
                  <c:v>1509.189</c:v>
                </c:pt>
                <c:pt idx="17">
                  <c:v>1509.189</c:v>
                </c:pt>
                <c:pt idx="18">
                  <c:v>3461.717</c:v>
                </c:pt>
                <c:pt idx="19">
                  <c:v>3461.717</c:v>
                </c:pt>
                <c:pt idx="20">
                  <c:v>3461.717</c:v>
                </c:pt>
                <c:pt idx="21">
                  <c:v>6128.1975</c:v>
                </c:pt>
                <c:pt idx="22">
                  <c:v>6128.1975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{4262.46660714286}</c:f>
              <c:numCache>
                <c:formatCode>General</c:formatCode>
                <c:ptCount val="1"/>
                <c:pt idx="0">
                  <c:v>4262.46660714286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{461.405999999999,10171.906}</c:f>
              <c:numCache>
                <c:formatCode>General</c:formatCode>
                <c:ptCount val="2"/>
                <c:pt idx="0">
                  <c:v>461.405999999999</c:v>
                </c:pt>
                <c:pt idx="1">
                  <c:v>10171.906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7936"/>
        <c:axId val="76409856"/>
      </c:scatterChart>
      <c:valAx>
        <c:axId val="7640793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409856"/>
        <c:crosses val="autoZero"/>
        <c:crossBetween val="midCat"/>
      </c:valAx>
      <c:valAx>
        <c:axId val="7640985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GP_PUK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407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 plot (GP_RBF)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{0.950000000000001,1.05,1,1,0.750000000000001,1.25,1.25,1.25,1.25,1.25,1,1,1.05,0.950000000000001,1,1,0.750000000000001,0.750000000000001,0.750000000000001,1.25,0.750000000000001,0.750000000000001,0.750000000000001}</c:f>
              <c:numCache>
                <c:formatCode>General</c:formatCode>
                <c:ptCount val="23"/>
                <c:pt idx="0">
                  <c:v>0.950000000000001</c:v>
                </c:pt>
                <c:pt idx="1">
                  <c:v>1.05</c:v>
                </c:pt>
                <c:pt idx="2">
                  <c:v>1</c:v>
                </c:pt>
                <c:pt idx="3">
                  <c:v>1</c:v>
                </c:pt>
                <c:pt idx="4">
                  <c:v>0.750000000000001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</c:v>
                </c:pt>
                <c:pt idx="11">
                  <c:v>1</c:v>
                </c:pt>
                <c:pt idx="12">
                  <c:v>1.05</c:v>
                </c:pt>
                <c:pt idx="13">
                  <c:v>0.950000000000001</c:v>
                </c:pt>
                <c:pt idx="14">
                  <c:v>1</c:v>
                </c:pt>
                <c:pt idx="15">
                  <c:v>1</c:v>
                </c:pt>
                <c:pt idx="16">
                  <c:v>0.750000000000001</c:v>
                </c:pt>
                <c:pt idx="17">
                  <c:v>0.750000000000001</c:v>
                </c:pt>
                <c:pt idx="18">
                  <c:v>0.750000000000001</c:v>
                </c:pt>
                <c:pt idx="19">
                  <c:v>1.25</c:v>
                </c:pt>
                <c:pt idx="20">
                  <c:v>0.750000000000001</c:v>
                </c:pt>
                <c:pt idx="21">
                  <c:v>0.750000000000001</c:v>
                </c:pt>
                <c:pt idx="22">
                  <c:v>0.750000000000001</c:v>
                </c:pt>
              </c:numCache>
            </c:numRef>
          </c:xVal>
          <c:yVal>
            <c:numRef>
              <c:f>{10331.104,10331.104,10331.104,6203.4835,6203.4835,6203.4835,6203.4835,3493.087,1668.79275,1668.79275,1668.79275,28.291,28.291,28.291,28.291,1668.79275,1668.79275,1668.79275,3493.087,3493.087,3493.087,6203.4835,6203.4835}</c:f>
              <c:numCache>
                <c:formatCode>General</c:formatCode>
                <c:ptCount val="23"/>
                <c:pt idx="0">
                  <c:v>10331.104</c:v>
                </c:pt>
                <c:pt idx="1">
                  <c:v>10331.104</c:v>
                </c:pt>
                <c:pt idx="2">
                  <c:v>10331.104</c:v>
                </c:pt>
                <c:pt idx="3">
                  <c:v>6203.4835</c:v>
                </c:pt>
                <c:pt idx="4">
                  <c:v>6203.4835</c:v>
                </c:pt>
                <c:pt idx="5">
                  <c:v>6203.4835</c:v>
                </c:pt>
                <c:pt idx="6">
                  <c:v>6203.4835</c:v>
                </c:pt>
                <c:pt idx="7">
                  <c:v>3493.087</c:v>
                </c:pt>
                <c:pt idx="8">
                  <c:v>1668.79275</c:v>
                </c:pt>
                <c:pt idx="9">
                  <c:v>1668.79275</c:v>
                </c:pt>
                <c:pt idx="10">
                  <c:v>1668.79275</c:v>
                </c:pt>
                <c:pt idx="11">
                  <c:v>28.291</c:v>
                </c:pt>
                <c:pt idx="12">
                  <c:v>28.291</c:v>
                </c:pt>
                <c:pt idx="13">
                  <c:v>28.291</c:v>
                </c:pt>
                <c:pt idx="14">
                  <c:v>28.291</c:v>
                </c:pt>
                <c:pt idx="15">
                  <c:v>1668.79275</c:v>
                </c:pt>
                <c:pt idx="16">
                  <c:v>1668.79275</c:v>
                </c:pt>
                <c:pt idx="17">
                  <c:v>1668.79275</c:v>
                </c:pt>
                <c:pt idx="18">
                  <c:v>3493.087</c:v>
                </c:pt>
                <c:pt idx="19">
                  <c:v>3493.087</c:v>
                </c:pt>
                <c:pt idx="20">
                  <c:v>3493.087</c:v>
                </c:pt>
                <c:pt idx="21">
                  <c:v>6203.4835</c:v>
                </c:pt>
                <c:pt idx="22">
                  <c:v>6203.4835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"Mean"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lus"/>
            <c:size val="7"/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{4237.91992857144}</c:f>
              <c:numCache>
                <c:formatCode>General</c:formatCode>
                <c:ptCount val="1"/>
                <c:pt idx="0">
                  <c:v>4237.91992857144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"Minimum/Maximum"</c:f>
              <c:strCache>
                <c:ptCount val="1"/>
                <c:pt idx="0">
                  <c:v>Minimum/Maximum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FF"/>
              </a:solidFill>
              <a:ln w="952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{1,1}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{28.291,10331.104}</c:f>
              <c:numCache>
                <c:formatCode>General</c:formatCode>
                <c:ptCount val="2"/>
                <c:pt idx="0">
                  <c:v>28.291</c:v>
                </c:pt>
                <c:pt idx="1">
                  <c:v>10331.104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1840"/>
        <c:axId val="76453760"/>
      </c:scatterChart>
      <c:valAx>
        <c:axId val="76451840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453760"/>
        <c:crosses val="autoZero"/>
        <c:crossBetween val="midCat"/>
      </c:valAx>
      <c:valAx>
        <c:axId val="76453760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GP_RBF</a:t>
                </a:r>
                <a:endParaRPr lang="en-US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4518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12946183415706"/>
          <c:h val="0.792389210019268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15200"/>
        <c:axId val="76529664"/>
      </c:scatterChart>
      <c:scatterChart>
        <c:scatterStyle val="marker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NLR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square"/>
            <c:size val="4"/>
          </c:marker>
          <c:dLbls>
            <c:delete val="1"/>
          </c:dLbls>
          <c:trendline>
            <c:spPr>
              <a:ln w="15875" cap="rnd" cmpd="sng" algn="ctr">
                <a:solidFill>
                  <a:srgbClr val="C0000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67529552422092"/>
                  <c:y val="-0.060805853928663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Sheet1!$H$2:$H$121</c:f>
              <c:numCache>
                <c:formatCode>General</c:formatCode>
                <c:ptCount val="120"/>
                <c:pt idx="0">
                  <c:v>2543.92065185175</c:v>
                </c:pt>
                <c:pt idx="1">
                  <c:v>2958.4365695964</c:v>
                </c:pt>
                <c:pt idx="2">
                  <c:v>3292.88755680551</c:v>
                </c:pt>
                <c:pt idx="3">
                  <c:v>3578.13282256534</c:v>
                </c:pt>
                <c:pt idx="4">
                  <c:v>3829.44293507394</c:v>
                </c:pt>
                <c:pt idx="5">
                  <c:v>4262.36111329642</c:v>
                </c:pt>
                <c:pt idx="6">
                  <c:v>4453.42664758774</c:v>
                </c:pt>
                <c:pt idx="7">
                  <c:v>4631.58669648217</c:v>
                </c:pt>
                <c:pt idx="8">
                  <c:v>4798.88427421617</c:v>
                </c:pt>
                <c:pt idx="9">
                  <c:v>5249.68450086011</c:v>
                </c:pt>
                <c:pt idx="10">
                  <c:v>5386.27470481637</c:v>
                </c:pt>
                <c:pt idx="11">
                  <c:v>5517.2616576578</c:v>
                </c:pt>
                <c:pt idx="12">
                  <c:v>5643.20508587503</c:v>
                </c:pt>
                <c:pt idx="13">
                  <c:v>5764.579639036</c:v>
                </c:pt>
                <c:pt idx="14">
                  <c:v>6105.08767043615</c:v>
                </c:pt>
                <c:pt idx="15">
                  <c:v>6211.74496995946</c:v>
                </c:pt>
                <c:pt idx="16">
                  <c:v>1287.55077870771</c:v>
                </c:pt>
                <c:pt idx="17">
                  <c:v>1497.34910409587</c:v>
                </c:pt>
                <c:pt idx="18">
                  <c:v>1666.62428518582</c:v>
                </c:pt>
                <c:pt idx="19">
                  <c:v>1938.19026135196</c:v>
                </c:pt>
                <c:pt idx="20">
                  <c:v>2052.67724768879</c:v>
                </c:pt>
                <c:pt idx="21">
                  <c:v>2344.1780911551</c:v>
                </c:pt>
                <c:pt idx="22">
                  <c:v>2428.85216553338</c:v>
                </c:pt>
                <c:pt idx="23">
                  <c:v>2508.8214090647</c:v>
                </c:pt>
                <c:pt idx="24">
                  <c:v>2584.70905642568</c:v>
                </c:pt>
                <c:pt idx="25">
                  <c:v>2657.01501425844</c:v>
                </c:pt>
                <c:pt idx="26">
                  <c:v>2726.14721118436</c:v>
                </c:pt>
                <c:pt idx="27">
                  <c:v>2792.44344295117</c:v>
                </c:pt>
                <c:pt idx="28">
                  <c:v>2856.18700309569</c:v>
                </c:pt>
                <c:pt idx="29">
                  <c:v>3034.33790738792</c:v>
                </c:pt>
                <c:pt idx="30">
                  <c:v>3089.95894916261</c:v>
                </c:pt>
                <c:pt idx="31">
                  <c:v>3143.94124965462</c:v>
                </c:pt>
                <c:pt idx="32">
                  <c:v>4546.06496479233</c:v>
                </c:pt>
                <c:pt idx="33">
                  <c:v>5286.81774323926</c:v>
                </c:pt>
                <c:pt idx="34">
                  <c:v>5884.49201200421</c:v>
                </c:pt>
                <c:pt idx="35">
                  <c:v>6843.33308475602</c:v>
                </c:pt>
                <c:pt idx="36">
                  <c:v>7247.56201779501</c:v>
                </c:pt>
                <c:pt idx="37">
                  <c:v>7616.9712724119</c:v>
                </c:pt>
                <c:pt idx="38">
                  <c:v>8276.78882081063</c:v>
                </c:pt>
                <c:pt idx="39">
                  <c:v>8575.75477176415</c:v>
                </c:pt>
                <c:pt idx="40">
                  <c:v>9126.05194289249</c:v>
                </c:pt>
                <c:pt idx="41">
                  <c:v>9625.43965688905</c:v>
                </c:pt>
                <c:pt idx="42">
                  <c:v>9859.51739698047</c:v>
                </c:pt>
                <c:pt idx="43">
                  <c:v>10084.5822024206</c:v>
                </c:pt>
                <c:pt idx="44">
                  <c:v>10510.9439972029</c:v>
                </c:pt>
                <c:pt idx="45">
                  <c:v>10713.5947414537</c:v>
                </c:pt>
                <c:pt idx="46">
                  <c:v>10909.9806809434</c:v>
                </c:pt>
                <c:pt idx="47">
                  <c:v>11100.5805773078</c:v>
                </c:pt>
                <c:pt idx="48">
                  <c:v>2675.80920703581</c:v>
                </c:pt>
                <c:pt idx="49">
                  <c:v>2978.30919641311</c:v>
                </c:pt>
                <c:pt idx="50">
                  <c:v>3668.1977926284</c:v>
                </c:pt>
                <c:pt idx="51">
                  <c:v>3855.16634964592</c:v>
                </c:pt>
                <c:pt idx="52">
                  <c:v>4027.97888213624</c:v>
                </c:pt>
                <c:pt idx="53">
                  <c:v>4189.11882478598</c:v>
                </c:pt>
                <c:pt idx="54">
                  <c:v>4340.43401721429</c:v>
                </c:pt>
                <c:pt idx="55">
                  <c:v>4748.16809182122</c:v>
                </c:pt>
                <c:pt idx="56">
                  <c:v>4871.70946806473</c:v>
                </c:pt>
                <c:pt idx="57">
                  <c:v>5104.09460224989</c:v>
                </c:pt>
                <c:pt idx="58">
                  <c:v>5319.8884637776</c:v>
                </c:pt>
                <c:pt idx="59">
                  <c:v>5422.45578378259</c:v>
                </c:pt>
                <c:pt idx="60">
                  <c:v>5521.8523074647</c:v>
                </c:pt>
                <c:pt idx="61">
                  <c:v>5618.32034973913</c:v>
                </c:pt>
                <c:pt idx="62">
                  <c:v>4746.70013666682</c:v>
                </c:pt>
                <c:pt idx="63">
                  <c:v>5520.14515822318</c:v>
                </c:pt>
                <c:pt idx="64">
                  <c:v>6676.43605374243</c:v>
                </c:pt>
                <c:pt idx="65">
                  <c:v>7145.35545361524</c:v>
                </c:pt>
                <c:pt idx="66">
                  <c:v>7567.424549979</c:v>
                </c:pt>
                <c:pt idx="67">
                  <c:v>7953.13724281467</c:v>
                </c:pt>
                <c:pt idx="68">
                  <c:v>8954.23551190136</c:v>
                </c:pt>
                <c:pt idx="69">
                  <c:v>9249.05108382021</c:v>
                </c:pt>
                <c:pt idx="70">
                  <c:v>9528.81939436499</c:v>
                </c:pt>
                <c:pt idx="71">
                  <c:v>9795.38340535576</c:v>
                </c:pt>
                <c:pt idx="72">
                  <c:v>10529.653247189</c:v>
                </c:pt>
                <c:pt idx="73">
                  <c:v>10974.8320128328</c:v>
                </c:pt>
                <c:pt idx="74">
                  <c:v>11391.4797061489</c:v>
                </c:pt>
                <c:pt idx="75">
                  <c:v>11590.4915023129</c:v>
                </c:pt>
                <c:pt idx="76">
                  <c:v>1856.0055124343</c:v>
                </c:pt>
                <c:pt idx="77">
                  <c:v>2402.4402855524</c:v>
                </c:pt>
                <c:pt idx="78">
                  <c:v>2793.90286480682</c:v>
                </c:pt>
                <c:pt idx="79">
                  <c:v>3379.13465725866</c:v>
                </c:pt>
                <c:pt idx="80">
                  <c:v>3830.08934065806</c:v>
                </c:pt>
                <c:pt idx="81">
                  <c:v>4025.30953263084</c:v>
                </c:pt>
                <c:pt idx="82">
                  <c:v>4205.74894076565</c:v>
                </c:pt>
                <c:pt idx="83">
                  <c:v>4374.00060318617</c:v>
                </c:pt>
                <c:pt idx="84">
                  <c:v>4531.99391171603</c:v>
                </c:pt>
                <c:pt idx="85">
                  <c:v>5086.71657289444</c:v>
                </c:pt>
                <c:pt idx="86">
                  <c:v>5210.41867506454</c:v>
                </c:pt>
                <c:pt idx="87">
                  <c:v>5443.9820455934</c:v>
                </c:pt>
                <c:pt idx="88">
                  <c:v>5554.67541569085</c:v>
                </c:pt>
                <c:pt idx="89">
                  <c:v>5661.76942241001</c:v>
                </c:pt>
                <c:pt idx="90">
                  <c:v>5866.27823809882</c:v>
                </c:pt>
                <c:pt idx="91">
                  <c:v>1057.42262153918</c:v>
                </c:pt>
                <c:pt idx="92">
                  <c:v>1368.74308175314</c:v>
                </c:pt>
                <c:pt idx="93">
                  <c:v>1487.30998614218</c:v>
                </c:pt>
                <c:pt idx="94">
                  <c:v>1685.79553701444</c:v>
                </c:pt>
                <c:pt idx="95">
                  <c:v>1771.72077245719</c:v>
                </c:pt>
                <c:pt idx="96">
                  <c:v>1851.14031646263</c:v>
                </c:pt>
                <c:pt idx="97">
                  <c:v>1925.19548238078</c:v>
                </c:pt>
                <c:pt idx="98">
                  <c:v>1994.73548281117</c:v>
                </c:pt>
                <c:pt idx="99">
                  <c:v>2122.73556240236</c:v>
                </c:pt>
                <c:pt idx="100">
                  <c:v>2293.34090334596</c:v>
                </c:pt>
                <c:pt idx="101">
                  <c:v>2345.69136873258</c:v>
                </c:pt>
                <c:pt idx="102">
                  <c:v>2396.14270576552</c:v>
                </c:pt>
                <c:pt idx="103">
                  <c:v>2492.00077987311</c:v>
                </c:pt>
                <c:pt idx="104">
                  <c:v>2537.68049113481</c:v>
                </c:pt>
                <c:pt idx="105">
                  <c:v>2582.01435869712</c:v>
                </c:pt>
                <c:pt idx="106">
                  <c:v>413.462438755946</c:v>
                </c:pt>
                <c:pt idx="107">
                  <c:v>535.191739881854</c:v>
                </c:pt>
                <c:pt idx="108">
                  <c:v>752.769992823154</c:v>
                </c:pt>
                <c:pt idx="109">
                  <c:v>853.229189693849</c:v>
                </c:pt>
                <c:pt idx="110">
                  <c:v>896.718401405081</c:v>
                </c:pt>
                <c:pt idx="111">
                  <c:v>936.914897178009</c:v>
                </c:pt>
                <c:pt idx="112">
                  <c:v>1009.59250530865</c:v>
                </c:pt>
                <c:pt idx="113">
                  <c:v>1074.37699535645</c:v>
                </c:pt>
                <c:pt idx="114">
                  <c:v>1104.43216057112</c:v>
                </c:pt>
                <c:pt idx="115">
                  <c:v>1160.72522301195</c:v>
                </c:pt>
                <c:pt idx="116">
                  <c:v>1212.75614648494</c:v>
                </c:pt>
                <c:pt idx="117">
                  <c:v>1237.41531395399</c:v>
                </c:pt>
                <c:pt idx="118">
                  <c:v>1261.27265106727</c:v>
                </c:pt>
                <c:pt idx="119">
                  <c:v>1306.8310899379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15200"/>
        <c:axId val="76529664"/>
      </c:scatterChart>
      <c:valAx>
        <c:axId val="76515200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529664"/>
        <c:crosses val="autoZero"/>
        <c:crossBetween val="midCat"/>
        <c:majorUnit val="2000"/>
      </c:valAx>
      <c:valAx>
        <c:axId val="76529664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515200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600768808347"/>
          <c:y val="0.0691233140655106"/>
          <c:w val="0.241762767710049"/>
          <c:h val="0.1560693641618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12946183415706"/>
          <c:h val="0.769267822736031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88704"/>
        <c:axId val="122494976"/>
      </c:scatterChart>
      <c:scatterChart>
        <c:scatterStyle val="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</c:marker>
          <c:dLbls>
            <c:delete val="1"/>
          </c:dLbls>
          <c:trendline>
            <c:spPr>
              <a:ln w="19050" cap="rnd" cmpd="sng" algn="ctr">
                <a:solidFill>
                  <a:schemeClr val="accent1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8666210301222"/>
                  <c:y val="-0.04831381866333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Sheet1!$G$2:$G$121</c:f>
              <c:numCache>
                <c:formatCode>General</c:formatCode>
                <c:ptCount val="120"/>
                <c:pt idx="0">
                  <c:v>3341.50128947756</c:v>
                </c:pt>
                <c:pt idx="1">
                  <c:v>3521.42898378559</c:v>
                </c:pt>
                <c:pt idx="2">
                  <c:v>3701.35667809362</c:v>
                </c:pt>
                <c:pt idx="3">
                  <c:v>3881.28437240166</c:v>
                </c:pt>
                <c:pt idx="4">
                  <c:v>4061.21206670969</c:v>
                </c:pt>
                <c:pt idx="5">
                  <c:v>4421.06745532576</c:v>
                </c:pt>
                <c:pt idx="6">
                  <c:v>4600.99514963379</c:v>
                </c:pt>
                <c:pt idx="7">
                  <c:v>4780.92284394183</c:v>
                </c:pt>
                <c:pt idx="8">
                  <c:v>4960.85053824986</c:v>
                </c:pt>
                <c:pt idx="9">
                  <c:v>5500.63362117396</c:v>
                </c:pt>
                <c:pt idx="10">
                  <c:v>5680.561315482</c:v>
                </c:pt>
                <c:pt idx="11">
                  <c:v>5860.48900979003</c:v>
                </c:pt>
                <c:pt idx="12">
                  <c:v>6040.41670409806</c:v>
                </c:pt>
                <c:pt idx="13">
                  <c:v>6220.3443984061</c:v>
                </c:pt>
                <c:pt idx="14">
                  <c:v>6760.1274813302</c:v>
                </c:pt>
                <c:pt idx="15">
                  <c:v>6940.05517563823</c:v>
                </c:pt>
                <c:pt idx="16">
                  <c:v>71.0871333042905</c:v>
                </c:pt>
                <c:pt idx="17">
                  <c:v>251.014827612324</c:v>
                </c:pt>
                <c:pt idx="18">
                  <c:v>430.942521920358</c:v>
                </c:pt>
                <c:pt idx="19">
                  <c:v>790.797910536426</c:v>
                </c:pt>
                <c:pt idx="20">
                  <c:v>970.72560484446</c:v>
                </c:pt>
                <c:pt idx="21">
                  <c:v>1510.50868776856</c:v>
                </c:pt>
                <c:pt idx="22">
                  <c:v>1690.43638207659</c:v>
                </c:pt>
                <c:pt idx="23">
                  <c:v>1870.36407638463</c:v>
                </c:pt>
                <c:pt idx="24">
                  <c:v>2050.29177069266</c:v>
                </c:pt>
                <c:pt idx="25">
                  <c:v>2230.2194650007</c:v>
                </c:pt>
                <c:pt idx="26">
                  <c:v>2410.14715930873</c:v>
                </c:pt>
                <c:pt idx="27">
                  <c:v>2590.07485361676</c:v>
                </c:pt>
                <c:pt idx="28">
                  <c:v>2770.0025479248</c:v>
                </c:pt>
                <c:pt idx="29">
                  <c:v>3309.7856308489</c:v>
                </c:pt>
                <c:pt idx="30">
                  <c:v>3489.71332515693</c:v>
                </c:pt>
                <c:pt idx="31">
                  <c:v>3669.64101946497</c:v>
                </c:pt>
                <c:pt idx="32">
                  <c:v>6238.91673912344</c:v>
                </c:pt>
                <c:pt idx="33">
                  <c:v>6418.84443343147</c:v>
                </c:pt>
                <c:pt idx="34">
                  <c:v>6598.7721277395</c:v>
                </c:pt>
                <c:pt idx="35">
                  <c:v>6958.62751635557</c:v>
                </c:pt>
                <c:pt idx="36">
                  <c:v>7138.55521066361</c:v>
                </c:pt>
                <c:pt idx="37">
                  <c:v>7318.48290497164</c:v>
                </c:pt>
                <c:pt idx="38">
                  <c:v>7678.33829358771</c:v>
                </c:pt>
                <c:pt idx="39">
                  <c:v>7858.26598789574</c:v>
                </c:pt>
                <c:pt idx="40">
                  <c:v>8218.12137651181</c:v>
                </c:pt>
                <c:pt idx="41">
                  <c:v>8577.97676512788</c:v>
                </c:pt>
                <c:pt idx="42">
                  <c:v>8757.90445943591</c:v>
                </c:pt>
                <c:pt idx="43">
                  <c:v>8937.83215374394</c:v>
                </c:pt>
                <c:pt idx="44">
                  <c:v>9297.68754236001</c:v>
                </c:pt>
                <c:pt idx="45">
                  <c:v>9477.61523666805</c:v>
                </c:pt>
                <c:pt idx="46">
                  <c:v>9657.54293097608</c:v>
                </c:pt>
                <c:pt idx="47">
                  <c:v>9837.47062528411</c:v>
                </c:pt>
                <c:pt idx="48">
                  <c:v>3148.4302772582</c:v>
                </c:pt>
                <c:pt idx="49">
                  <c:v>3328.35797156624</c:v>
                </c:pt>
                <c:pt idx="50">
                  <c:v>3868.14105449034</c:v>
                </c:pt>
                <c:pt idx="51">
                  <c:v>4048.06874879837</c:v>
                </c:pt>
                <c:pt idx="52">
                  <c:v>4227.99644310641</c:v>
                </c:pt>
                <c:pt idx="53">
                  <c:v>4407.92413741444</c:v>
                </c:pt>
                <c:pt idx="54">
                  <c:v>4587.85183172247</c:v>
                </c:pt>
                <c:pt idx="55">
                  <c:v>5127.63491464658</c:v>
                </c:pt>
                <c:pt idx="56">
                  <c:v>5307.56260895461</c:v>
                </c:pt>
                <c:pt idx="57">
                  <c:v>5667.41799757068</c:v>
                </c:pt>
                <c:pt idx="58">
                  <c:v>6027.27338618675</c:v>
                </c:pt>
                <c:pt idx="59">
                  <c:v>6207.20108049478</c:v>
                </c:pt>
                <c:pt idx="60">
                  <c:v>6387.12877480281</c:v>
                </c:pt>
                <c:pt idx="61">
                  <c:v>6567.05646911085</c:v>
                </c:pt>
                <c:pt idx="62">
                  <c:v>6376.95138855331</c:v>
                </c:pt>
                <c:pt idx="63">
                  <c:v>6556.87908286134</c:v>
                </c:pt>
                <c:pt idx="64">
                  <c:v>6916.73447147741</c:v>
                </c:pt>
                <c:pt idx="65">
                  <c:v>7096.66216578544</c:v>
                </c:pt>
                <c:pt idx="66">
                  <c:v>7276.58986009348</c:v>
                </c:pt>
                <c:pt idx="67">
                  <c:v>7456.51755440151</c:v>
                </c:pt>
                <c:pt idx="68">
                  <c:v>7996.30063732561</c:v>
                </c:pt>
                <c:pt idx="69">
                  <c:v>8176.22833163365</c:v>
                </c:pt>
                <c:pt idx="70">
                  <c:v>8356.15602594168</c:v>
                </c:pt>
                <c:pt idx="71">
                  <c:v>8536.08372024971</c:v>
                </c:pt>
                <c:pt idx="72">
                  <c:v>9075.86680317381</c:v>
                </c:pt>
                <c:pt idx="73">
                  <c:v>9435.72219178988</c:v>
                </c:pt>
                <c:pt idx="74">
                  <c:v>9795.57758040595</c:v>
                </c:pt>
                <c:pt idx="75">
                  <c:v>9975.50527471398</c:v>
                </c:pt>
                <c:pt idx="76">
                  <c:v>2926.60953807201</c:v>
                </c:pt>
                <c:pt idx="77">
                  <c:v>3106.53723238004</c:v>
                </c:pt>
                <c:pt idx="78">
                  <c:v>3286.46492668807</c:v>
                </c:pt>
                <c:pt idx="79">
                  <c:v>3646.32031530414</c:v>
                </c:pt>
                <c:pt idx="80">
                  <c:v>4006.17570392021</c:v>
                </c:pt>
                <c:pt idx="81">
                  <c:v>4186.10339822824</c:v>
                </c:pt>
                <c:pt idx="82">
                  <c:v>4366.03109253628</c:v>
                </c:pt>
                <c:pt idx="83">
                  <c:v>4545.95878684431</c:v>
                </c:pt>
                <c:pt idx="84">
                  <c:v>4725.88648115234</c:v>
                </c:pt>
                <c:pt idx="85">
                  <c:v>5445.59725838448</c:v>
                </c:pt>
                <c:pt idx="86">
                  <c:v>5625.52495269251</c:v>
                </c:pt>
                <c:pt idx="87">
                  <c:v>5985.38034130858</c:v>
                </c:pt>
                <c:pt idx="88">
                  <c:v>6165.30803561662</c:v>
                </c:pt>
                <c:pt idx="89">
                  <c:v>6345.23572992465</c:v>
                </c:pt>
                <c:pt idx="90">
                  <c:v>6705.09111854072</c:v>
                </c:pt>
                <c:pt idx="91">
                  <c:v>1251.40575300331</c:v>
                </c:pt>
                <c:pt idx="92">
                  <c:v>1611.26114161937</c:v>
                </c:pt>
                <c:pt idx="93">
                  <c:v>1791.18883592741</c:v>
                </c:pt>
                <c:pt idx="94">
                  <c:v>2151.04422454348</c:v>
                </c:pt>
                <c:pt idx="95">
                  <c:v>2330.97191885151</c:v>
                </c:pt>
                <c:pt idx="96">
                  <c:v>2510.89961315954</c:v>
                </c:pt>
                <c:pt idx="97">
                  <c:v>2690.82730746758</c:v>
                </c:pt>
                <c:pt idx="98">
                  <c:v>2870.75500177561</c:v>
                </c:pt>
                <c:pt idx="99">
                  <c:v>3230.61039039168</c:v>
                </c:pt>
                <c:pt idx="100">
                  <c:v>3770.39347331578</c:v>
                </c:pt>
                <c:pt idx="101">
                  <c:v>3950.32116762381</c:v>
                </c:pt>
                <c:pt idx="102">
                  <c:v>4130.24886193185</c:v>
                </c:pt>
                <c:pt idx="103">
                  <c:v>4490.10425054792</c:v>
                </c:pt>
                <c:pt idx="104">
                  <c:v>4670.03194485595</c:v>
                </c:pt>
                <c:pt idx="105">
                  <c:v>4849.95963916398</c:v>
                </c:pt>
                <c:pt idx="106">
                  <c:v>-2198.93609747799</c:v>
                </c:pt>
                <c:pt idx="107">
                  <c:v>-2019.00840316996</c:v>
                </c:pt>
                <c:pt idx="108">
                  <c:v>-1479.22532024586</c:v>
                </c:pt>
                <c:pt idx="109">
                  <c:v>-1119.36993162979</c:v>
                </c:pt>
                <c:pt idx="110">
                  <c:v>-939.442237321758</c:v>
                </c:pt>
                <c:pt idx="111">
                  <c:v>-759.514543013724</c:v>
                </c:pt>
                <c:pt idx="112">
                  <c:v>-399.659154397656</c:v>
                </c:pt>
                <c:pt idx="113">
                  <c:v>-39.8037657815876</c:v>
                </c:pt>
                <c:pt idx="114">
                  <c:v>140.123928526446</c:v>
                </c:pt>
                <c:pt idx="115">
                  <c:v>499.979317142514</c:v>
                </c:pt>
                <c:pt idx="116">
                  <c:v>859.834705758581</c:v>
                </c:pt>
                <c:pt idx="117">
                  <c:v>1039.76240006661</c:v>
                </c:pt>
                <c:pt idx="118">
                  <c:v>1219.69009437465</c:v>
                </c:pt>
                <c:pt idx="119">
                  <c:v>1579.54548299072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88704"/>
        <c:axId val="122494976"/>
      </c:scatterChart>
      <c:valAx>
        <c:axId val="122488704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494976"/>
        <c:crosses val="autoZero"/>
        <c:crossBetween val="midCat"/>
        <c:majorUnit val="2000"/>
      </c:valAx>
      <c:valAx>
        <c:axId val="122494976"/>
        <c:scaling>
          <c:orientation val="minMax"/>
          <c:max val="12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488704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834546203488"/>
          <c:y val="0.0684172488556974"/>
          <c:w val="0.237402169435672"/>
          <c:h val="0.14237533124548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513005780346821"/>
          <c:w val="0.812920499794041"/>
          <c:h val="0.792630057803468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37856"/>
        <c:axId val="122540032"/>
      </c:scatterChart>
      <c:scatterChart>
        <c:scatterStyle val="marker"/>
        <c:varyColors val="0"/>
        <c:ser>
          <c:idx val="2"/>
          <c:order val="0"/>
          <c:tx>
            <c:strRef>
              <c:f>Sheet1!$I$1</c:f>
              <c:strCache>
                <c:ptCount val="1"/>
                <c:pt idx="0">
                  <c:v>M5P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triangle"/>
            <c:size val="6"/>
          </c:marker>
          <c:dLbls>
            <c:delete val="1"/>
          </c:dLbls>
          <c:trendline>
            <c:spPr>
              <a:ln w="19050" cap="rnd" cmpd="sng" algn="ctr">
                <a:solidFill>
                  <a:srgbClr val="92D05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72650069211623"/>
                  <c:y val="-0.061318008418504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Sheet1!$I$2:$I$121</c:f>
              <c:numCache>
                <c:formatCode>General</c:formatCode>
                <c:ptCount val="120"/>
                <c:pt idx="0">
                  <c:v>3340.594</c:v>
                </c:pt>
                <c:pt idx="1">
                  <c:v>3489.224</c:v>
                </c:pt>
                <c:pt idx="2">
                  <c:v>3637.854</c:v>
                </c:pt>
                <c:pt idx="3">
                  <c:v>3786.484</c:v>
                </c:pt>
                <c:pt idx="4">
                  <c:v>3935.114</c:v>
                </c:pt>
                <c:pt idx="5">
                  <c:v>4338.719</c:v>
                </c:pt>
                <c:pt idx="6">
                  <c:v>4471.687</c:v>
                </c:pt>
                <c:pt idx="7">
                  <c:v>4604.656</c:v>
                </c:pt>
                <c:pt idx="8">
                  <c:v>4765.653</c:v>
                </c:pt>
                <c:pt idx="9">
                  <c:v>5159.555</c:v>
                </c:pt>
                <c:pt idx="10">
                  <c:v>5290.856</c:v>
                </c:pt>
                <c:pt idx="11">
                  <c:v>5422.157</c:v>
                </c:pt>
                <c:pt idx="12">
                  <c:v>5553.457</c:v>
                </c:pt>
                <c:pt idx="13">
                  <c:v>5684.758</c:v>
                </c:pt>
                <c:pt idx="14">
                  <c:v>6078.66</c:v>
                </c:pt>
                <c:pt idx="15">
                  <c:v>6209.961</c:v>
                </c:pt>
                <c:pt idx="16">
                  <c:v>799.793</c:v>
                </c:pt>
                <c:pt idx="17">
                  <c:v>935.93</c:v>
                </c:pt>
                <c:pt idx="18">
                  <c:v>1072.068</c:v>
                </c:pt>
                <c:pt idx="19">
                  <c:v>1344.343</c:v>
                </c:pt>
                <c:pt idx="20">
                  <c:v>1480.481</c:v>
                </c:pt>
                <c:pt idx="21">
                  <c:v>1888.894</c:v>
                </c:pt>
                <c:pt idx="22">
                  <c:v>2025.032</c:v>
                </c:pt>
                <c:pt idx="23">
                  <c:v>2161.169</c:v>
                </c:pt>
                <c:pt idx="24">
                  <c:v>2297.307</c:v>
                </c:pt>
                <c:pt idx="25">
                  <c:v>2433.445</c:v>
                </c:pt>
                <c:pt idx="26">
                  <c:v>2569.582</c:v>
                </c:pt>
                <c:pt idx="27">
                  <c:v>2705.72</c:v>
                </c:pt>
                <c:pt idx="28">
                  <c:v>2841.858</c:v>
                </c:pt>
                <c:pt idx="29">
                  <c:v>3250.271</c:v>
                </c:pt>
                <c:pt idx="30">
                  <c:v>3386.408</c:v>
                </c:pt>
                <c:pt idx="31">
                  <c:v>3522.546</c:v>
                </c:pt>
                <c:pt idx="32">
                  <c:v>5829.252</c:v>
                </c:pt>
                <c:pt idx="33">
                  <c:v>6163.577</c:v>
                </c:pt>
                <c:pt idx="34">
                  <c:v>6497.902</c:v>
                </c:pt>
                <c:pt idx="35">
                  <c:v>7166.552</c:v>
                </c:pt>
                <c:pt idx="36">
                  <c:v>7802.363</c:v>
                </c:pt>
                <c:pt idx="37">
                  <c:v>7979.739</c:v>
                </c:pt>
                <c:pt idx="38">
                  <c:v>8334.491</c:v>
                </c:pt>
                <c:pt idx="39">
                  <c:v>8622.016</c:v>
                </c:pt>
                <c:pt idx="40">
                  <c:v>8963.78</c:v>
                </c:pt>
                <c:pt idx="41">
                  <c:v>9305.545</c:v>
                </c:pt>
                <c:pt idx="42">
                  <c:v>9476.427</c:v>
                </c:pt>
                <c:pt idx="43">
                  <c:v>9647.31</c:v>
                </c:pt>
                <c:pt idx="44">
                  <c:v>9989.074</c:v>
                </c:pt>
                <c:pt idx="45">
                  <c:v>10159.956</c:v>
                </c:pt>
                <c:pt idx="46">
                  <c:v>10330.839</c:v>
                </c:pt>
                <c:pt idx="47">
                  <c:v>10501.721</c:v>
                </c:pt>
                <c:pt idx="48">
                  <c:v>1711.714</c:v>
                </c:pt>
                <c:pt idx="49">
                  <c:v>1965.511</c:v>
                </c:pt>
                <c:pt idx="50">
                  <c:v>2816.62</c:v>
                </c:pt>
                <c:pt idx="51">
                  <c:v>3101.279</c:v>
                </c:pt>
                <c:pt idx="52">
                  <c:v>3385.939</c:v>
                </c:pt>
                <c:pt idx="53">
                  <c:v>3951.804</c:v>
                </c:pt>
                <c:pt idx="54">
                  <c:v>4195.786</c:v>
                </c:pt>
                <c:pt idx="55">
                  <c:v>4927.731</c:v>
                </c:pt>
                <c:pt idx="56">
                  <c:v>5171.713</c:v>
                </c:pt>
                <c:pt idx="57">
                  <c:v>5659.677</c:v>
                </c:pt>
                <c:pt idx="58">
                  <c:v>6147.641</c:v>
                </c:pt>
                <c:pt idx="59">
                  <c:v>6391.622</c:v>
                </c:pt>
                <c:pt idx="60">
                  <c:v>6635.604</c:v>
                </c:pt>
                <c:pt idx="61">
                  <c:v>6879.586</c:v>
                </c:pt>
                <c:pt idx="62">
                  <c:v>5912.512</c:v>
                </c:pt>
                <c:pt idx="63">
                  <c:v>6246.837</c:v>
                </c:pt>
                <c:pt idx="64">
                  <c:v>6915.487</c:v>
                </c:pt>
                <c:pt idx="65">
                  <c:v>7249.813</c:v>
                </c:pt>
                <c:pt idx="66">
                  <c:v>7968.722</c:v>
                </c:pt>
                <c:pt idx="67">
                  <c:v>8146.098</c:v>
                </c:pt>
                <c:pt idx="68">
                  <c:v>8802.066</c:v>
                </c:pt>
                <c:pt idx="69">
                  <c:v>8972.948</c:v>
                </c:pt>
                <c:pt idx="70">
                  <c:v>9143.83</c:v>
                </c:pt>
                <c:pt idx="71">
                  <c:v>9314.713</c:v>
                </c:pt>
                <c:pt idx="72">
                  <c:v>9827.359</c:v>
                </c:pt>
                <c:pt idx="73">
                  <c:v>10169.124</c:v>
                </c:pt>
                <c:pt idx="74">
                  <c:v>10510.889</c:v>
                </c:pt>
                <c:pt idx="75">
                  <c:v>10681.771</c:v>
                </c:pt>
                <c:pt idx="76">
                  <c:v>1456.285</c:v>
                </c:pt>
                <c:pt idx="77">
                  <c:v>1710.083</c:v>
                </c:pt>
                <c:pt idx="78">
                  <c:v>1963.88</c:v>
                </c:pt>
                <c:pt idx="79">
                  <c:v>2471.474</c:v>
                </c:pt>
                <c:pt idx="80">
                  <c:v>3048.834</c:v>
                </c:pt>
                <c:pt idx="81">
                  <c:v>3333.494</c:v>
                </c:pt>
                <c:pt idx="82">
                  <c:v>3618.153</c:v>
                </c:pt>
                <c:pt idx="83">
                  <c:v>4190.717</c:v>
                </c:pt>
                <c:pt idx="84">
                  <c:v>4434.699</c:v>
                </c:pt>
                <c:pt idx="85">
                  <c:v>5410.627</c:v>
                </c:pt>
                <c:pt idx="86">
                  <c:v>5654.608</c:v>
                </c:pt>
                <c:pt idx="87">
                  <c:v>6142.572</c:v>
                </c:pt>
                <c:pt idx="88">
                  <c:v>6386.554</c:v>
                </c:pt>
                <c:pt idx="89">
                  <c:v>6630.536</c:v>
                </c:pt>
                <c:pt idx="90">
                  <c:v>7118.5</c:v>
                </c:pt>
                <c:pt idx="91">
                  <c:v>1887.65</c:v>
                </c:pt>
                <c:pt idx="92">
                  <c:v>2005.058</c:v>
                </c:pt>
                <c:pt idx="93">
                  <c:v>2063.762</c:v>
                </c:pt>
                <c:pt idx="94">
                  <c:v>2181.17</c:v>
                </c:pt>
                <c:pt idx="95">
                  <c:v>2239.874</c:v>
                </c:pt>
                <c:pt idx="96">
                  <c:v>2298.578</c:v>
                </c:pt>
                <c:pt idx="97">
                  <c:v>2357.282</c:v>
                </c:pt>
                <c:pt idx="98">
                  <c:v>2415.986</c:v>
                </c:pt>
                <c:pt idx="99">
                  <c:v>2533.394</c:v>
                </c:pt>
                <c:pt idx="100">
                  <c:v>2709.506</c:v>
                </c:pt>
                <c:pt idx="101">
                  <c:v>2768.21</c:v>
                </c:pt>
                <c:pt idx="102">
                  <c:v>2826.914</c:v>
                </c:pt>
                <c:pt idx="103">
                  <c:v>2944.322</c:v>
                </c:pt>
                <c:pt idx="104">
                  <c:v>3003.026</c:v>
                </c:pt>
                <c:pt idx="105">
                  <c:v>3061.73</c:v>
                </c:pt>
                <c:pt idx="106">
                  <c:v>-248.341</c:v>
                </c:pt>
                <c:pt idx="107">
                  <c:v>-189.637</c:v>
                </c:pt>
                <c:pt idx="108">
                  <c:v>-13.525</c:v>
                </c:pt>
                <c:pt idx="109">
                  <c:v>103.883</c:v>
                </c:pt>
                <c:pt idx="110">
                  <c:v>162.587</c:v>
                </c:pt>
                <c:pt idx="111">
                  <c:v>221.291</c:v>
                </c:pt>
                <c:pt idx="112">
                  <c:v>338.699</c:v>
                </c:pt>
                <c:pt idx="113">
                  <c:v>456.107</c:v>
                </c:pt>
                <c:pt idx="114">
                  <c:v>514.811</c:v>
                </c:pt>
                <c:pt idx="115">
                  <c:v>632.219</c:v>
                </c:pt>
                <c:pt idx="116">
                  <c:v>749.627</c:v>
                </c:pt>
                <c:pt idx="117">
                  <c:v>808.331</c:v>
                </c:pt>
                <c:pt idx="118">
                  <c:v>867.035</c:v>
                </c:pt>
                <c:pt idx="119">
                  <c:v>984.443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37856"/>
        <c:axId val="122540032"/>
      </c:scatterChart>
      <c:valAx>
        <c:axId val="12253785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540032"/>
        <c:crosses val="autoZero"/>
        <c:crossBetween val="midCat"/>
        <c:majorUnit val="2000"/>
      </c:valAx>
      <c:valAx>
        <c:axId val="122540032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537856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482218865852"/>
          <c:y val="0.069364161849711"/>
          <c:w val="0.247288205409859"/>
          <c:h val="0.1502890173410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12946183415706"/>
          <c:h val="0.78106936416185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06144"/>
        <c:axId val="129216512"/>
      </c:scatterChart>
      <c:scatterChart>
        <c:scatterStyle val="marker"/>
        <c:varyColors val="0"/>
        <c:ser>
          <c:idx val="3"/>
          <c:order val="0"/>
          <c:tx>
            <c:strRef>
              <c:f>Sheet1!$J$1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x"/>
            <c:size val="5"/>
          </c:marker>
          <c:dLbls>
            <c:delete val="1"/>
          </c:dLbls>
          <c:trendline>
            <c:spPr>
              <a:ln w="19050" cap="rnd" cmpd="sng" algn="ctr">
                <a:solidFill>
                  <a:schemeClr val="accent4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77606433256799"/>
                  <c:y val="-0.0426901496416995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Sheet1!$J$2:$J$121</c:f>
              <c:numCache>
                <c:formatCode>General</c:formatCode>
                <c:ptCount val="120"/>
                <c:pt idx="0">
                  <c:v>2631.286</c:v>
                </c:pt>
                <c:pt idx="1">
                  <c:v>3157.045</c:v>
                </c:pt>
                <c:pt idx="2">
                  <c:v>3267.629</c:v>
                </c:pt>
                <c:pt idx="3">
                  <c:v>3346.119</c:v>
                </c:pt>
                <c:pt idx="4">
                  <c:v>3475.343</c:v>
                </c:pt>
                <c:pt idx="5">
                  <c:v>4610.724</c:v>
                </c:pt>
                <c:pt idx="6">
                  <c:v>4740.76</c:v>
                </c:pt>
                <c:pt idx="7">
                  <c:v>4980.037</c:v>
                </c:pt>
                <c:pt idx="8">
                  <c:v>5473.096</c:v>
                </c:pt>
                <c:pt idx="9">
                  <c:v>5585.9</c:v>
                </c:pt>
                <c:pt idx="10">
                  <c:v>5616.547</c:v>
                </c:pt>
                <c:pt idx="11">
                  <c:v>5601.204</c:v>
                </c:pt>
                <c:pt idx="12">
                  <c:v>5601.201</c:v>
                </c:pt>
                <c:pt idx="13">
                  <c:v>5603.553</c:v>
                </c:pt>
                <c:pt idx="14">
                  <c:v>5704.534</c:v>
                </c:pt>
                <c:pt idx="15">
                  <c:v>5834.066</c:v>
                </c:pt>
                <c:pt idx="16">
                  <c:v>1015.838</c:v>
                </c:pt>
                <c:pt idx="17">
                  <c:v>1025.857</c:v>
                </c:pt>
                <c:pt idx="18">
                  <c:v>1166.115</c:v>
                </c:pt>
                <c:pt idx="19">
                  <c:v>1178.996</c:v>
                </c:pt>
                <c:pt idx="20">
                  <c:v>1303.321</c:v>
                </c:pt>
                <c:pt idx="21">
                  <c:v>2316.65</c:v>
                </c:pt>
                <c:pt idx="22">
                  <c:v>2288.469</c:v>
                </c:pt>
                <c:pt idx="23">
                  <c:v>2236.127</c:v>
                </c:pt>
                <c:pt idx="24">
                  <c:v>2286.191</c:v>
                </c:pt>
                <c:pt idx="25">
                  <c:v>2317.106</c:v>
                </c:pt>
                <c:pt idx="26">
                  <c:v>2510.493</c:v>
                </c:pt>
                <c:pt idx="27">
                  <c:v>2806.341</c:v>
                </c:pt>
                <c:pt idx="28">
                  <c:v>3082.045</c:v>
                </c:pt>
                <c:pt idx="29">
                  <c:v>3233.86</c:v>
                </c:pt>
                <c:pt idx="30">
                  <c:v>3291.645</c:v>
                </c:pt>
                <c:pt idx="31">
                  <c:v>3343.47</c:v>
                </c:pt>
                <c:pt idx="32">
                  <c:v>4508.063</c:v>
                </c:pt>
                <c:pt idx="33">
                  <c:v>5118.38</c:v>
                </c:pt>
                <c:pt idx="34">
                  <c:v>5770.23</c:v>
                </c:pt>
                <c:pt idx="35">
                  <c:v>7579.239</c:v>
                </c:pt>
                <c:pt idx="36">
                  <c:v>8609.083</c:v>
                </c:pt>
                <c:pt idx="37">
                  <c:v>8550.115</c:v>
                </c:pt>
                <c:pt idx="38">
                  <c:v>8781.4</c:v>
                </c:pt>
                <c:pt idx="39">
                  <c:v>9156.468</c:v>
                </c:pt>
                <c:pt idx="40">
                  <c:v>9522.256</c:v>
                </c:pt>
                <c:pt idx="41">
                  <c:v>9582.275</c:v>
                </c:pt>
                <c:pt idx="42">
                  <c:v>9637.789</c:v>
                </c:pt>
                <c:pt idx="43">
                  <c:v>9674.157</c:v>
                </c:pt>
                <c:pt idx="44">
                  <c:v>9768.656</c:v>
                </c:pt>
                <c:pt idx="45">
                  <c:v>9770.109</c:v>
                </c:pt>
                <c:pt idx="46">
                  <c:v>9745.25</c:v>
                </c:pt>
                <c:pt idx="47">
                  <c:v>9756.678</c:v>
                </c:pt>
                <c:pt idx="48">
                  <c:v>1225.172</c:v>
                </c:pt>
                <c:pt idx="49">
                  <c:v>1237.902</c:v>
                </c:pt>
                <c:pt idx="50">
                  <c:v>2576.755</c:v>
                </c:pt>
                <c:pt idx="51">
                  <c:v>2863.782</c:v>
                </c:pt>
                <c:pt idx="52">
                  <c:v>3428.291</c:v>
                </c:pt>
                <c:pt idx="53">
                  <c:v>4311.843</c:v>
                </c:pt>
                <c:pt idx="54">
                  <c:v>4440.858</c:v>
                </c:pt>
                <c:pt idx="55">
                  <c:v>5350.588</c:v>
                </c:pt>
                <c:pt idx="56">
                  <c:v>5521.829</c:v>
                </c:pt>
                <c:pt idx="57">
                  <c:v>6306.997</c:v>
                </c:pt>
                <c:pt idx="58">
                  <c:v>6419.009</c:v>
                </c:pt>
                <c:pt idx="59">
                  <c:v>6491.314</c:v>
                </c:pt>
                <c:pt idx="60">
                  <c:v>6496.286</c:v>
                </c:pt>
                <c:pt idx="61">
                  <c:v>6506.824</c:v>
                </c:pt>
                <c:pt idx="62">
                  <c:v>4830.705</c:v>
                </c:pt>
                <c:pt idx="63">
                  <c:v>5264.485</c:v>
                </c:pt>
                <c:pt idx="64">
                  <c:v>6577.193</c:v>
                </c:pt>
                <c:pt idx="65">
                  <c:v>7910.022</c:v>
                </c:pt>
                <c:pt idx="66">
                  <c:v>8840.682</c:v>
                </c:pt>
                <c:pt idx="67">
                  <c:v>8762.587</c:v>
                </c:pt>
                <c:pt idx="68">
                  <c:v>9662.935</c:v>
                </c:pt>
                <c:pt idx="69">
                  <c:v>9811.793</c:v>
                </c:pt>
                <c:pt idx="70">
                  <c:v>9897.482</c:v>
                </c:pt>
                <c:pt idx="71">
                  <c:v>9866.431</c:v>
                </c:pt>
                <c:pt idx="72">
                  <c:v>9963.756</c:v>
                </c:pt>
                <c:pt idx="73">
                  <c:v>10065.325</c:v>
                </c:pt>
                <c:pt idx="74">
                  <c:v>10104.265</c:v>
                </c:pt>
                <c:pt idx="75">
                  <c:v>10105.254</c:v>
                </c:pt>
                <c:pt idx="76">
                  <c:v>1304.934</c:v>
                </c:pt>
                <c:pt idx="77">
                  <c:v>1310.362</c:v>
                </c:pt>
                <c:pt idx="78">
                  <c:v>1320.209</c:v>
                </c:pt>
                <c:pt idx="79">
                  <c:v>1639.836</c:v>
                </c:pt>
                <c:pt idx="80">
                  <c:v>2893.21</c:v>
                </c:pt>
                <c:pt idx="81">
                  <c:v>3009.145</c:v>
                </c:pt>
                <c:pt idx="82">
                  <c:v>3620.375</c:v>
                </c:pt>
                <c:pt idx="83">
                  <c:v>4575.279</c:v>
                </c:pt>
                <c:pt idx="84">
                  <c:v>4839.529</c:v>
                </c:pt>
                <c:pt idx="85">
                  <c:v>5822.33</c:v>
                </c:pt>
                <c:pt idx="86">
                  <c:v>6010.494</c:v>
                </c:pt>
                <c:pt idx="87">
                  <c:v>6637.757</c:v>
                </c:pt>
                <c:pt idx="88">
                  <c:v>6683.92</c:v>
                </c:pt>
                <c:pt idx="89">
                  <c:v>6687.015</c:v>
                </c:pt>
                <c:pt idx="90">
                  <c:v>6752.956</c:v>
                </c:pt>
                <c:pt idx="91">
                  <c:v>2025.117</c:v>
                </c:pt>
                <c:pt idx="92">
                  <c:v>2222.741</c:v>
                </c:pt>
                <c:pt idx="93">
                  <c:v>2129.214</c:v>
                </c:pt>
                <c:pt idx="94">
                  <c:v>2096.567</c:v>
                </c:pt>
                <c:pt idx="95">
                  <c:v>2168.494</c:v>
                </c:pt>
                <c:pt idx="96">
                  <c:v>2166.335</c:v>
                </c:pt>
                <c:pt idx="97">
                  <c:v>2271.518</c:v>
                </c:pt>
                <c:pt idx="98">
                  <c:v>2434.032</c:v>
                </c:pt>
                <c:pt idx="99">
                  <c:v>2200.483</c:v>
                </c:pt>
                <c:pt idx="100">
                  <c:v>2418.298</c:v>
                </c:pt>
                <c:pt idx="101">
                  <c:v>2435.382</c:v>
                </c:pt>
                <c:pt idx="102">
                  <c:v>2401.092</c:v>
                </c:pt>
                <c:pt idx="103">
                  <c:v>2331.613</c:v>
                </c:pt>
                <c:pt idx="104">
                  <c:v>2497.817</c:v>
                </c:pt>
                <c:pt idx="105">
                  <c:v>2616.204</c:v>
                </c:pt>
                <c:pt idx="106">
                  <c:v>521.506</c:v>
                </c:pt>
                <c:pt idx="107">
                  <c:v>554.084</c:v>
                </c:pt>
                <c:pt idx="108">
                  <c:v>589.276</c:v>
                </c:pt>
                <c:pt idx="109">
                  <c:v>627.029</c:v>
                </c:pt>
                <c:pt idx="110">
                  <c:v>733.911</c:v>
                </c:pt>
                <c:pt idx="111">
                  <c:v>737.842</c:v>
                </c:pt>
                <c:pt idx="112">
                  <c:v>748.119</c:v>
                </c:pt>
                <c:pt idx="113">
                  <c:v>684.599</c:v>
                </c:pt>
                <c:pt idx="114">
                  <c:v>724.568</c:v>
                </c:pt>
                <c:pt idx="115">
                  <c:v>785.144</c:v>
                </c:pt>
                <c:pt idx="116">
                  <c:v>804.936</c:v>
                </c:pt>
                <c:pt idx="117">
                  <c:v>761.595</c:v>
                </c:pt>
                <c:pt idx="118">
                  <c:v>859.326</c:v>
                </c:pt>
                <c:pt idx="119">
                  <c:v>1069.075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06144"/>
        <c:axId val="129216512"/>
      </c:scatterChart>
      <c:valAx>
        <c:axId val="129206144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216512"/>
        <c:crosses val="autoZero"/>
        <c:crossBetween val="midCat"/>
        <c:majorUnit val="2000"/>
      </c:valAx>
      <c:valAx>
        <c:axId val="129216512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206144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953322350357"/>
          <c:y val="0.0722543352601156"/>
          <c:w val="0.239017023613399"/>
          <c:h val="0.1464354527938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513005780346821"/>
          <c:w val="0.812920499794041"/>
          <c:h val="0.783959537572254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63488"/>
        <c:axId val="129273856"/>
      </c:scatterChart>
      <c:scatterChart>
        <c:scatterStyle val="marker"/>
        <c:varyColors val="0"/>
        <c:ser>
          <c:idx val="4"/>
          <c:order val="0"/>
          <c:tx>
            <c:strRef>
              <c:f>Sheet1!$K$1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chemeClr val="accent5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63281600784386"/>
                  <c:y val="-0.036562002184698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Sheet1!$K$2:$K$121</c:f>
              <c:numCache>
                <c:formatCode>General</c:formatCode>
                <c:ptCount val="120"/>
                <c:pt idx="0">
                  <c:v>2405</c:v>
                </c:pt>
                <c:pt idx="1">
                  <c:v>3296.25</c:v>
                </c:pt>
                <c:pt idx="2">
                  <c:v>3296.25</c:v>
                </c:pt>
                <c:pt idx="3">
                  <c:v>3296.25</c:v>
                </c:pt>
                <c:pt idx="4">
                  <c:v>3296.25</c:v>
                </c:pt>
                <c:pt idx="5">
                  <c:v>4858</c:v>
                </c:pt>
                <c:pt idx="6">
                  <c:v>4858</c:v>
                </c:pt>
                <c:pt idx="7">
                  <c:v>4858</c:v>
                </c:pt>
                <c:pt idx="8">
                  <c:v>5510</c:v>
                </c:pt>
                <c:pt idx="9">
                  <c:v>5658.5</c:v>
                </c:pt>
                <c:pt idx="10">
                  <c:v>5658.5</c:v>
                </c:pt>
                <c:pt idx="11">
                  <c:v>5770.4</c:v>
                </c:pt>
                <c:pt idx="12">
                  <c:v>5770.4</c:v>
                </c:pt>
                <c:pt idx="13">
                  <c:v>5770.4</c:v>
                </c:pt>
                <c:pt idx="14">
                  <c:v>5770.4</c:v>
                </c:pt>
                <c:pt idx="15">
                  <c:v>5770.4</c:v>
                </c:pt>
                <c:pt idx="16">
                  <c:v>995.25</c:v>
                </c:pt>
                <c:pt idx="17">
                  <c:v>995.25</c:v>
                </c:pt>
                <c:pt idx="18">
                  <c:v>995.25</c:v>
                </c:pt>
                <c:pt idx="19">
                  <c:v>995.25</c:v>
                </c:pt>
                <c:pt idx="20">
                  <c:v>1220</c:v>
                </c:pt>
                <c:pt idx="21">
                  <c:v>2235.333</c:v>
                </c:pt>
                <c:pt idx="22">
                  <c:v>2235.333</c:v>
                </c:pt>
                <c:pt idx="23">
                  <c:v>2235.333</c:v>
                </c:pt>
                <c:pt idx="24">
                  <c:v>2235.333</c:v>
                </c:pt>
                <c:pt idx="25">
                  <c:v>2235.333</c:v>
                </c:pt>
                <c:pt idx="26">
                  <c:v>2235.333</c:v>
                </c:pt>
                <c:pt idx="27">
                  <c:v>2776</c:v>
                </c:pt>
                <c:pt idx="28">
                  <c:v>3286.75</c:v>
                </c:pt>
                <c:pt idx="29">
                  <c:v>3286.75</c:v>
                </c:pt>
                <c:pt idx="30">
                  <c:v>3286.75</c:v>
                </c:pt>
                <c:pt idx="31">
                  <c:v>3286.75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8808.333</c:v>
                </c:pt>
                <c:pt idx="37">
                  <c:v>8808.333</c:v>
                </c:pt>
                <c:pt idx="38">
                  <c:v>8808.333</c:v>
                </c:pt>
                <c:pt idx="39">
                  <c:v>9631</c:v>
                </c:pt>
                <c:pt idx="40">
                  <c:v>9631</c:v>
                </c:pt>
                <c:pt idx="41">
                  <c:v>9631</c:v>
                </c:pt>
                <c:pt idx="42">
                  <c:v>9631</c:v>
                </c:pt>
                <c:pt idx="43">
                  <c:v>9631</c:v>
                </c:pt>
                <c:pt idx="44">
                  <c:v>9849.5</c:v>
                </c:pt>
                <c:pt idx="45">
                  <c:v>9849.5</c:v>
                </c:pt>
                <c:pt idx="46">
                  <c:v>9849.5</c:v>
                </c:pt>
                <c:pt idx="47">
                  <c:v>9849.5</c:v>
                </c:pt>
                <c:pt idx="48">
                  <c:v>1007.5</c:v>
                </c:pt>
                <c:pt idx="49">
                  <c:v>1007.5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4348</c:v>
                </c:pt>
                <c:pt idx="54">
                  <c:v>4348</c:v>
                </c:pt>
                <c:pt idx="55">
                  <c:v>5315.5</c:v>
                </c:pt>
                <c:pt idx="56">
                  <c:v>5315.5</c:v>
                </c:pt>
                <c:pt idx="57">
                  <c:v>6379.8</c:v>
                </c:pt>
                <c:pt idx="58">
                  <c:v>6379.8</c:v>
                </c:pt>
                <c:pt idx="59">
                  <c:v>6379.8</c:v>
                </c:pt>
                <c:pt idx="60">
                  <c:v>6379.8</c:v>
                </c:pt>
                <c:pt idx="61">
                  <c:v>6379.8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9074</c:v>
                </c:pt>
                <c:pt idx="67">
                  <c:v>9074</c:v>
                </c:pt>
                <c:pt idx="68">
                  <c:v>9902</c:v>
                </c:pt>
                <c:pt idx="69">
                  <c:v>9902</c:v>
                </c:pt>
                <c:pt idx="70">
                  <c:v>9902</c:v>
                </c:pt>
                <c:pt idx="71">
                  <c:v>9902</c:v>
                </c:pt>
                <c:pt idx="72">
                  <c:v>9902</c:v>
                </c:pt>
                <c:pt idx="73">
                  <c:v>10150.667</c:v>
                </c:pt>
                <c:pt idx="74">
                  <c:v>10150.667</c:v>
                </c:pt>
                <c:pt idx="75">
                  <c:v>10150.667</c:v>
                </c:pt>
                <c:pt idx="76">
                  <c:v>1250.333</c:v>
                </c:pt>
                <c:pt idx="77">
                  <c:v>1250.333</c:v>
                </c:pt>
                <c:pt idx="78">
                  <c:v>1250.333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4648</c:v>
                </c:pt>
                <c:pt idx="84">
                  <c:v>4648</c:v>
                </c:pt>
                <c:pt idx="85">
                  <c:v>5621</c:v>
                </c:pt>
                <c:pt idx="86">
                  <c:v>5967</c:v>
                </c:pt>
                <c:pt idx="87">
                  <c:v>6675.5</c:v>
                </c:pt>
                <c:pt idx="88">
                  <c:v>6675.5</c:v>
                </c:pt>
                <c:pt idx="89">
                  <c:v>6675.5</c:v>
                </c:pt>
                <c:pt idx="90">
                  <c:v>6675.5</c:v>
                </c:pt>
                <c:pt idx="91">
                  <c:v>2150.556</c:v>
                </c:pt>
                <c:pt idx="92">
                  <c:v>2150.556</c:v>
                </c:pt>
                <c:pt idx="93">
                  <c:v>2150.556</c:v>
                </c:pt>
                <c:pt idx="94">
                  <c:v>2150.556</c:v>
                </c:pt>
                <c:pt idx="95">
                  <c:v>2150.556</c:v>
                </c:pt>
                <c:pt idx="96">
                  <c:v>2150.556</c:v>
                </c:pt>
                <c:pt idx="97">
                  <c:v>2150.556</c:v>
                </c:pt>
                <c:pt idx="98">
                  <c:v>2150.556</c:v>
                </c:pt>
                <c:pt idx="99">
                  <c:v>2150.556</c:v>
                </c:pt>
                <c:pt idx="100">
                  <c:v>2389.833</c:v>
                </c:pt>
                <c:pt idx="101">
                  <c:v>2389.833</c:v>
                </c:pt>
                <c:pt idx="102">
                  <c:v>2389.833</c:v>
                </c:pt>
                <c:pt idx="103">
                  <c:v>2389.833</c:v>
                </c:pt>
                <c:pt idx="104">
                  <c:v>2389.833</c:v>
                </c:pt>
                <c:pt idx="105">
                  <c:v>2389.833</c:v>
                </c:pt>
                <c:pt idx="106">
                  <c:v>576.333</c:v>
                </c:pt>
                <c:pt idx="107">
                  <c:v>576.333</c:v>
                </c:pt>
                <c:pt idx="108">
                  <c:v>576.333</c:v>
                </c:pt>
                <c:pt idx="109">
                  <c:v>576.333</c:v>
                </c:pt>
                <c:pt idx="110">
                  <c:v>576.333</c:v>
                </c:pt>
                <c:pt idx="111">
                  <c:v>576.333</c:v>
                </c:pt>
                <c:pt idx="112">
                  <c:v>576.333</c:v>
                </c:pt>
                <c:pt idx="113">
                  <c:v>576.333</c:v>
                </c:pt>
                <c:pt idx="114">
                  <c:v>576.333</c:v>
                </c:pt>
                <c:pt idx="115">
                  <c:v>760.6</c:v>
                </c:pt>
                <c:pt idx="116">
                  <c:v>760.6</c:v>
                </c:pt>
                <c:pt idx="117">
                  <c:v>760.6</c:v>
                </c:pt>
                <c:pt idx="118">
                  <c:v>760.6</c:v>
                </c:pt>
                <c:pt idx="119">
                  <c:v>760.6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63488"/>
        <c:axId val="129273856"/>
      </c:scatterChart>
      <c:valAx>
        <c:axId val="129263488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273856"/>
        <c:crosses val="autoZero"/>
        <c:crossBetween val="midCat"/>
        <c:majorUnit val="2000"/>
      </c:valAx>
      <c:valAx>
        <c:axId val="12927385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263488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834546203488"/>
          <c:y val="0.0664739884393064"/>
          <c:w val="0.219552382260058"/>
          <c:h val="0.14691714836223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12946183415706"/>
          <c:h val="0.789739884393064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1056"/>
        <c:axId val="131039616"/>
      </c:scatterChart>
      <c:scatterChart>
        <c:scatterStyle val="marker"/>
        <c:varyColors val="0"/>
        <c:ser>
          <c:idx val="5"/>
          <c:order val="0"/>
          <c:tx>
            <c:strRef>
              <c:f>Sheet1!$L$1</c:f>
              <c:strCache>
                <c:ptCount val="1"/>
                <c:pt idx="0">
                  <c:v>REP Tree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19050" cap="rnd" cmpd="sng" algn="ctr">
                <a:solidFill>
                  <a:srgbClr val="F79646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04674893809608"/>
                  <c:y val="-0.041711869349664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Sheet1!$L$2:$L$121</c:f>
              <c:numCache>
                <c:formatCode>General</c:formatCode>
                <c:ptCount val="120"/>
                <c:pt idx="0">
                  <c:v>3118</c:v>
                </c:pt>
                <c:pt idx="1">
                  <c:v>3118</c:v>
                </c:pt>
                <c:pt idx="2">
                  <c:v>3118</c:v>
                </c:pt>
                <c:pt idx="3">
                  <c:v>3118</c:v>
                </c:pt>
                <c:pt idx="4">
                  <c:v>3118</c:v>
                </c:pt>
                <c:pt idx="5">
                  <c:v>5477.545</c:v>
                </c:pt>
                <c:pt idx="6">
                  <c:v>5477.545</c:v>
                </c:pt>
                <c:pt idx="7">
                  <c:v>5477.545</c:v>
                </c:pt>
                <c:pt idx="8">
                  <c:v>5477.545</c:v>
                </c:pt>
                <c:pt idx="9">
                  <c:v>5477.545</c:v>
                </c:pt>
                <c:pt idx="10">
                  <c:v>5477.545</c:v>
                </c:pt>
                <c:pt idx="11">
                  <c:v>5477.545</c:v>
                </c:pt>
                <c:pt idx="12">
                  <c:v>5477.545</c:v>
                </c:pt>
                <c:pt idx="13">
                  <c:v>5477.545</c:v>
                </c:pt>
                <c:pt idx="14">
                  <c:v>5477.545</c:v>
                </c:pt>
                <c:pt idx="15">
                  <c:v>5477.545</c:v>
                </c:pt>
                <c:pt idx="16">
                  <c:v>1040.2</c:v>
                </c:pt>
                <c:pt idx="17">
                  <c:v>1040.2</c:v>
                </c:pt>
                <c:pt idx="18">
                  <c:v>1040.2</c:v>
                </c:pt>
                <c:pt idx="19">
                  <c:v>1040.2</c:v>
                </c:pt>
                <c:pt idx="20">
                  <c:v>1040.2</c:v>
                </c:pt>
                <c:pt idx="21">
                  <c:v>2218.2</c:v>
                </c:pt>
                <c:pt idx="22">
                  <c:v>2218.2</c:v>
                </c:pt>
                <c:pt idx="23">
                  <c:v>2218.2</c:v>
                </c:pt>
                <c:pt idx="24">
                  <c:v>2218.2</c:v>
                </c:pt>
                <c:pt idx="25">
                  <c:v>2218.2</c:v>
                </c:pt>
                <c:pt idx="26">
                  <c:v>3040.667</c:v>
                </c:pt>
                <c:pt idx="27">
                  <c:v>3040.667</c:v>
                </c:pt>
                <c:pt idx="28">
                  <c:v>3040.667</c:v>
                </c:pt>
                <c:pt idx="29">
                  <c:v>3040.667</c:v>
                </c:pt>
                <c:pt idx="30">
                  <c:v>3040.667</c:v>
                </c:pt>
                <c:pt idx="31">
                  <c:v>3040.667</c:v>
                </c:pt>
                <c:pt idx="32">
                  <c:v>5040.2</c:v>
                </c:pt>
                <c:pt idx="33">
                  <c:v>5040.2</c:v>
                </c:pt>
                <c:pt idx="34">
                  <c:v>5040.2</c:v>
                </c:pt>
                <c:pt idx="35">
                  <c:v>7248.667</c:v>
                </c:pt>
                <c:pt idx="36">
                  <c:v>8914.6</c:v>
                </c:pt>
                <c:pt idx="37">
                  <c:v>8914.6</c:v>
                </c:pt>
                <c:pt idx="38">
                  <c:v>8914.6</c:v>
                </c:pt>
                <c:pt idx="39">
                  <c:v>9853.824</c:v>
                </c:pt>
                <c:pt idx="40">
                  <c:v>9853.824</c:v>
                </c:pt>
                <c:pt idx="41">
                  <c:v>9853.824</c:v>
                </c:pt>
                <c:pt idx="42">
                  <c:v>9853.824</c:v>
                </c:pt>
                <c:pt idx="43">
                  <c:v>9853.824</c:v>
                </c:pt>
                <c:pt idx="44">
                  <c:v>9853.824</c:v>
                </c:pt>
                <c:pt idx="45">
                  <c:v>9853.824</c:v>
                </c:pt>
                <c:pt idx="46">
                  <c:v>9853.824</c:v>
                </c:pt>
                <c:pt idx="47">
                  <c:v>9853.824</c:v>
                </c:pt>
                <c:pt idx="48">
                  <c:v>1206.833</c:v>
                </c:pt>
                <c:pt idx="49">
                  <c:v>1206.833</c:v>
                </c:pt>
                <c:pt idx="50">
                  <c:v>2814.5</c:v>
                </c:pt>
                <c:pt idx="51">
                  <c:v>2814.5</c:v>
                </c:pt>
                <c:pt idx="52">
                  <c:v>2814.5</c:v>
                </c:pt>
                <c:pt idx="53">
                  <c:v>4498</c:v>
                </c:pt>
                <c:pt idx="54">
                  <c:v>4498</c:v>
                </c:pt>
                <c:pt idx="55">
                  <c:v>5417.333</c:v>
                </c:pt>
                <c:pt idx="56">
                  <c:v>5417.333</c:v>
                </c:pt>
                <c:pt idx="57">
                  <c:v>6456.8</c:v>
                </c:pt>
                <c:pt idx="58">
                  <c:v>6456.8</c:v>
                </c:pt>
                <c:pt idx="59">
                  <c:v>6456.8</c:v>
                </c:pt>
                <c:pt idx="60">
                  <c:v>6456.8</c:v>
                </c:pt>
                <c:pt idx="61">
                  <c:v>6456.8</c:v>
                </c:pt>
                <c:pt idx="62">
                  <c:v>5040.2</c:v>
                </c:pt>
                <c:pt idx="63">
                  <c:v>5040.2</c:v>
                </c:pt>
                <c:pt idx="64">
                  <c:v>7248.667</c:v>
                </c:pt>
                <c:pt idx="65">
                  <c:v>7248.667</c:v>
                </c:pt>
                <c:pt idx="66">
                  <c:v>8914.6</c:v>
                </c:pt>
                <c:pt idx="67">
                  <c:v>8914.6</c:v>
                </c:pt>
                <c:pt idx="68">
                  <c:v>9853.824</c:v>
                </c:pt>
                <c:pt idx="69">
                  <c:v>9853.824</c:v>
                </c:pt>
                <c:pt idx="70">
                  <c:v>9853.824</c:v>
                </c:pt>
                <c:pt idx="71">
                  <c:v>9853.824</c:v>
                </c:pt>
                <c:pt idx="72">
                  <c:v>9853.824</c:v>
                </c:pt>
                <c:pt idx="73">
                  <c:v>9853.824</c:v>
                </c:pt>
                <c:pt idx="74">
                  <c:v>9853.824</c:v>
                </c:pt>
                <c:pt idx="75">
                  <c:v>9853.824</c:v>
                </c:pt>
                <c:pt idx="76">
                  <c:v>1206.833</c:v>
                </c:pt>
                <c:pt idx="77">
                  <c:v>1206.833</c:v>
                </c:pt>
                <c:pt idx="78">
                  <c:v>1206.833</c:v>
                </c:pt>
                <c:pt idx="79">
                  <c:v>1206.833</c:v>
                </c:pt>
                <c:pt idx="80">
                  <c:v>2814.5</c:v>
                </c:pt>
                <c:pt idx="81">
                  <c:v>2814.5</c:v>
                </c:pt>
                <c:pt idx="82">
                  <c:v>2814.5</c:v>
                </c:pt>
                <c:pt idx="83">
                  <c:v>4498</c:v>
                </c:pt>
                <c:pt idx="84">
                  <c:v>4498</c:v>
                </c:pt>
                <c:pt idx="85">
                  <c:v>5417.333</c:v>
                </c:pt>
                <c:pt idx="86">
                  <c:v>6456.8</c:v>
                </c:pt>
                <c:pt idx="87">
                  <c:v>6456.8</c:v>
                </c:pt>
                <c:pt idx="88">
                  <c:v>6456.8</c:v>
                </c:pt>
                <c:pt idx="89">
                  <c:v>6456.8</c:v>
                </c:pt>
                <c:pt idx="90">
                  <c:v>6456.8</c:v>
                </c:pt>
                <c:pt idx="91">
                  <c:v>2141.5</c:v>
                </c:pt>
                <c:pt idx="92">
                  <c:v>2141.5</c:v>
                </c:pt>
                <c:pt idx="93">
                  <c:v>2141.5</c:v>
                </c:pt>
                <c:pt idx="94">
                  <c:v>2141.5</c:v>
                </c:pt>
                <c:pt idx="95">
                  <c:v>2141.5</c:v>
                </c:pt>
                <c:pt idx="96">
                  <c:v>2141.5</c:v>
                </c:pt>
                <c:pt idx="97">
                  <c:v>2141.5</c:v>
                </c:pt>
                <c:pt idx="98">
                  <c:v>2141.5</c:v>
                </c:pt>
                <c:pt idx="99">
                  <c:v>2366</c:v>
                </c:pt>
                <c:pt idx="100">
                  <c:v>2366</c:v>
                </c:pt>
                <c:pt idx="101">
                  <c:v>2366</c:v>
                </c:pt>
                <c:pt idx="102">
                  <c:v>2366</c:v>
                </c:pt>
                <c:pt idx="103">
                  <c:v>2366</c:v>
                </c:pt>
                <c:pt idx="104">
                  <c:v>2366</c:v>
                </c:pt>
                <c:pt idx="105">
                  <c:v>2366</c:v>
                </c:pt>
                <c:pt idx="106">
                  <c:v>540.333</c:v>
                </c:pt>
                <c:pt idx="107">
                  <c:v>540.333</c:v>
                </c:pt>
                <c:pt idx="108">
                  <c:v>540.333</c:v>
                </c:pt>
                <c:pt idx="109">
                  <c:v>540.333</c:v>
                </c:pt>
                <c:pt idx="110">
                  <c:v>540.333</c:v>
                </c:pt>
                <c:pt idx="111">
                  <c:v>540.333</c:v>
                </c:pt>
                <c:pt idx="112">
                  <c:v>718.5</c:v>
                </c:pt>
                <c:pt idx="113">
                  <c:v>718.5</c:v>
                </c:pt>
                <c:pt idx="114">
                  <c:v>718.5</c:v>
                </c:pt>
                <c:pt idx="115">
                  <c:v>718.5</c:v>
                </c:pt>
                <c:pt idx="116">
                  <c:v>718.5</c:v>
                </c:pt>
                <c:pt idx="117">
                  <c:v>718.5</c:v>
                </c:pt>
                <c:pt idx="118">
                  <c:v>718.5</c:v>
                </c:pt>
                <c:pt idx="119">
                  <c:v>718.5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1056"/>
        <c:axId val="131039616"/>
      </c:scatterChart>
      <c:valAx>
        <c:axId val="13102105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039616"/>
        <c:crosses val="autoZero"/>
        <c:crossBetween val="midCat"/>
        <c:majorUnit val="2000"/>
      </c:valAx>
      <c:valAx>
        <c:axId val="13103961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rgbClr val="8064A2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021056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600768808347"/>
          <c:y val="0.069364161849711"/>
          <c:w val="0.301619989017024"/>
          <c:h val="0.15510597302504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8407699038"/>
          <c:y val="0.0514005540974045"/>
          <c:w val="0.812971347331585"/>
          <c:h val="0.765817658209392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70592"/>
        <c:axId val="131732224"/>
      </c:scatterChart>
      <c:scatterChart>
        <c:scatterStyle val="marker"/>
        <c:varyColors val="0"/>
        <c:ser>
          <c:idx val="6"/>
          <c:order val="0"/>
          <c:tx>
            <c:strRef>
              <c:f>Sheet1!$M$1</c:f>
              <c:strCache>
                <c:ptCount val="1"/>
                <c:pt idx="0">
                  <c:v>GP_PUK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rgbClr val="0070C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32156225099763"/>
                  <c:y val="-0.0304813942452762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Sheet1!$M$2:$M$121</c:f>
              <c:numCache>
                <c:formatCode>General</c:formatCode>
                <c:ptCount val="120"/>
                <c:pt idx="0">
                  <c:v>2659.25</c:v>
                </c:pt>
                <c:pt idx="1">
                  <c:v>2876.124</c:v>
                </c:pt>
                <c:pt idx="2">
                  <c:v>3126.861</c:v>
                </c:pt>
                <c:pt idx="3">
                  <c:v>3417.475</c:v>
                </c:pt>
                <c:pt idx="4">
                  <c:v>3750.723</c:v>
                </c:pt>
                <c:pt idx="5">
                  <c:v>4491.292</c:v>
                </c:pt>
                <c:pt idx="6">
                  <c:v>4841.062</c:v>
                </c:pt>
                <c:pt idx="7">
                  <c:v>5136.908</c:v>
                </c:pt>
                <c:pt idx="8">
                  <c:v>5361.993</c:v>
                </c:pt>
                <c:pt idx="9">
                  <c:v>5652.267</c:v>
                </c:pt>
                <c:pt idx="10">
                  <c:v>5675.669</c:v>
                </c:pt>
                <c:pt idx="11">
                  <c:v>5692.819</c:v>
                </c:pt>
                <c:pt idx="12">
                  <c:v>5714.898</c:v>
                </c:pt>
                <c:pt idx="13">
                  <c:v>5745.628</c:v>
                </c:pt>
                <c:pt idx="14">
                  <c:v>5843.71</c:v>
                </c:pt>
                <c:pt idx="15">
                  <c:v>5854.226</c:v>
                </c:pt>
                <c:pt idx="16">
                  <c:v>988.332</c:v>
                </c:pt>
                <c:pt idx="17">
                  <c:v>935.48</c:v>
                </c:pt>
                <c:pt idx="18">
                  <c:v>933.165</c:v>
                </c:pt>
                <c:pt idx="19">
                  <c:v>1132.399</c:v>
                </c:pt>
                <c:pt idx="20">
                  <c:v>1331.97</c:v>
                </c:pt>
                <c:pt idx="21">
                  <c:v>1985.853</c:v>
                </c:pt>
                <c:pt idx="22">
                  <c:v>2116.529</c:v>
                </c:pt>
                <c:pt idx="23">
                  <c:v>2202.47</c:v>
                </c:pt>
                <c:pt idx="24">
                  <c:v>2279.573</c:v>
                </c:pt>
                <c:pt idx="25">
                  <c:v>2387.259</c:v>
                </c:pt>
                <c:pt idx="26">
                  <c:v>2546.867</c:v>
                </c:pt>
                <c:pt idx="27">
                  <c:v>2750.059</c:v>
                </c:pt>
                <c:pt idx="28">
                  <c:v>2963.694</c:v>
                </c:pt>
                <c:pt idx="29">
                  <c:v>3334.438</c:v>
                </c:pt>
                <c:pt idx="30">
                  <c:v>3346.102</c:v>
                </c:pt>
                <c:pt idx="31">
                  <c:v>3332.756</c:v>
                </c:pt>
                <c:pt idx="32">
                  <c:v>4299.03</c:v>
                </c:pt>
                <c:pt idx="33">
                  <c:v>5079.277</c:v>
                </c:pt>
                <c:pt idx="34">
                  <c:v>5941.744</c:v>
                </c:pt>
                <c:pt idx="35">
                  <c:v>7612.104</c:v>
                </c:pt>
                <c:pt idx="36">
                  <c:v>8269.718</c:v>
                </c:pt>
                <c:pt idx="37">
                  <c:v>8752.305</c:v>
                </c:pt>
                <c:pt idx="38">
                  <c:v>9258.843</c:v>
                </c:pt>
                <c:pt idx="39">
                  <c:v>9374.747</c:v>
                </c:pt>
                <c:pt idx="40">
                  <c:v>9526.206</c:v>
                </c:pt>
                <c:pt idx="41">
                  <c:v>9644.551</c:v>
                </c:pt>
                <c:pt idx="42">
                  <c:v>9694.152</c:v>
                </c:pt>
                <c:pt idx="43">
                  <c:v>9740.924</c:v>
                </c:pt>
                <c:pt idx="44">
                  <c:v>9829.015</c:v>
                </c:pt>
                <c:pt idx="45">
                  <c:v>9856.814</c:v>
                </c:pt>
                <c:pt idx="46">
                  <c:v>9855.157</c:v>
                </c:pt>
                <c:pt idx="47">
                  <c:v>9808.521</c:v>
                </c:pt>
                <c:pt idx="48">
                  <c:v>955.346</c:v>
                </c:pt>
                <c:pt idx="49">
                  <c:v>1081.292</c:v>
                </c:pt>
                <c:pt idx="50">
                  <c:v>2208.944</c:v>
                </c:pt>
                <c:pt idx="51">
                  <c:v>2779.456</c:v>
                </c:pt>
                <c:pt idx="52">
                  <c:v>3368.947</c:v>
                </c:pt>
                <c:pt idx="53">
                  <c:v>3918.753</c:v>
                </c:pt>
                <c:pt idx="54">
                  <c:v>4386.694</c:v>
                </c:pt>
                <c:pt idx="55">
                  <c:v>5316.399</c:v>
                </c:pt>
                <c:pt idx="56">
                  <c:v>5561.608</c:v>
                </c:pt>
                <c:pt idx="57">
                  <c:v>6033.453</c:v>
                </c:pt>
                <c:pt idx="58">
                  <c:v>6362.54</c:v>
                </c:pt>
                <c:pt idx="59">
                  <c:v>6436.876</c:v>
                </c:pt>
                <c:pt idx="60">
                  <c:v>6454.639</c:v>
                </c:pt>
                <c:pt idx="61">
                  <c:v>6428.705</c:v>
                </c:pt>
                <c:pt idx="62">
                  <c:v>4621.077</c:v>
                </c:pt>
                <c:pt idx="63">
                  <c:v>5301.118</c:v>
                </c:pt>
                <c:pt idx="64">
                  <c:v>6954.13</c:v>
                </c:pt>
                <c:pt idx="65">
                  <c:v>7802.439</c:v>
                </c:pt>
                <c:pt idx="66">
                  <c:v>8558.433</c:v>
                </c:pt>
                <c:pt idx="67">
                  <c:v>9155.328</c:v>
                </c:pt>
                <c:pt idx="68">
                  <c:v>9885.361</c:v>
                </c:pt>
                <c:pt idx="69">
                  <c:v>9902.53</c:v>
                </c:pt>
                <c:pt idx="70">
                  <c:v>9892.718</c:v>
                </c:pt>
                <c:pt idx="71">
                  <c:v>9889.379</c:v>
                </c:pt>
                <c:pt idx="72">
                  <c:v>10010.907</c:v>
                </c:pt>
                <c:pt idx="73">
                  <c:v>10136.959</c:v>
                </c:pt>
                <c:pt idx="74">
                  <c:v>10166.26</c:v>
                </c:pt>
                <c:pt idx="75">
                  <c:v>10106.601</c:v>
                </c:pt>
                <c:pt idx="76">
                  <c:v>1272.41</c:v>
                </c:pt>
                <c:pt idx="77">
                  <c:v>1212.406</c:v>
                </c:pt>
                <c:pt idx="78">
                  <c:v>1223.915</c:v>
                </c:pt>
                <c:pt idx="79">
                  <c:v>1572.864</c:v>
                </c:pt>
                <c:pt idx="80">
                  <c:v>2448.442</c:v>
                </c:pt>
                <c:pt idx="81">
                  <c:v>3035.342</c:v>
                </c:pt>
                <c:pt idx="82">
                  <c:v>3646.811</c:v>
                </c:pt>
                <c:pt idx="83">
                  <c:v>4215.915</c:v>
                </c:pt>
                <c:pt idx="84">
                  <c:v>4692.146</c:v>
                </c:pt>
                <c:pt idx="85">
                  <c:v>5770.116</c:v>
                </c:pt>
                <c:pt idx="86">
                  <c:v>5997.442</c:v>
                </c:pt>
                <c:pt idx="87">
                  <c:v>6454.453</c:v>
                </c:pt>
                <c:pt idx="88">
                  <c:v>6630.315</c:v>
                </c:pt>
                <c:pt idx="89">
                  <c:v>6740.542</c:v>
                </c:pt>
                <c:pt idx="90">
                  <c:v>6757.037</c:v>
                </c:pt>
                <c:pt idx="91">
                  <c:v>2112.233</c:v>
                </c:pt>
                <c:pt idx="92">
                  <c:v>2104.629</c:v>
                </c:pt>
                <c:pt idx="93">
                  <c:v>2113.917</c:v>
                </c:pt>
                <c:pt idx="94">
                  <c:v>2139.4</c:v>
                </c:pt>
                <c:pt idx="95">
                  <c:v>2151.437</c:v>
                </c:pt>
                <c:pt idx="96">
                  <c:v>2162.726</c:v>
                </c:pt>
                <c:pt idx="97">
                  <c:v>2174.335</c:v>
                </c:pt>
                <c:pt idx="98">
                  <c:v>2187.638</c:v>
                </c:pt>
                <c:pt idx="99">
                  <c:v>2223.551</c:v>
                </c:pt>
                <c:pt idx="100">
                  <c:v>2300.741</c:v>
                </c:pt>
                <c:pt idx="101">
                  <c:v>2328.677</c:v>
                </c:pt>
                <c:pt idx="102">
                  <c:v>2356.017</c:v>
                </c:pt>
                <c:pt idx="103">
                  <c:v>2414.052</c:v>
                </c:pt>
                <c:pt idx="104">
                  <c:v>2452.272</c:v>
                </c:pt>
                <c:pt idx="105">
                  <c:v>2503.362</c:v>
                </c:pt>
                <c:pt idx="106">
                  <c:v>486.059</c:v>
                </c:pt>
                <c:pt idx="107">
                  <c:v>458.6</c:v>
                </c:pt>
                <c:pt idx="108">
                  <c:v>518.58</c:v>
                </c:pt>
                <c:pt idx="109">
                  <c:v>583.244</c:v>
                </c:pt>
                <c:pt idx="110">
                  <c:v>605.209</c:v>
                </c:pt>
                <c:pt idx="111">
                  <c:v>619.308</c:v>
                </c:pt>
                <c:pt idx="112">
                  <c:v>633.349</c:v>
                </c:pt>
                <c:pt idx="113">
                  <c:v>651.831</c:v>
                </c:pt>
                <c:pt idx="114">
                  <c:v>669.445</c:v>
                </c:pt>
                <c:pt idx="115">
                  <c:v>716.583</c:v>
                </c:pt>
                <c:pt idx="116">
                  <c:v>751.856</c:v>
                </c:pt>
                <c:pt idx="117">
                  <c:v>759.666</c:v>
                </c:pt>
                <c:pt idx="118">
                  <c:v>767.207</c:v>
                </c:pt>
                <c:pt idx="119">
                  <c:v>827.617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70592"/>
        <c:axId val="131732224"/>
      </c:scatterChart>
      <c:valAx>
        <c:axId val="131070592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732224"/>
        <c:crosses val="autoZero"/>
        <c:crossBetween val="midCat"/>
        <c:majorUnit val="2000"/>
      </c:valAx>
      <c:valAx>
        <c:axId val="131732224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861614497529"/>
              <c:y val="0.05244522135238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070592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834546203488"/>
          <c:y val="0.0635838150289017"/>
          <c:w val="0.286832349306604"/>
          <c:h val="0.16473988439306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12946183415706"/>
          <c:h val="0.786849710982659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62816"/>
        <c:axId val="131773184"/>
      </c:scatterChart>
      <c:scatterChart>
        <c:scatterStyle val="marker"/>
        <c:varyColors val="0"/>
        <c:ser>
          <c:idx val="7"/>
          <c:order val="0"/>
          <c:tx>
            <c:strRef>
              <c:f>Sheet1!$N$1</c:f>
              <c:strCache>
                <c:ptCount val="1"/>
                <c:pt idx="0">
                  <c:v>GP_RBF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rgbClr val="C0000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30674975245064"/>
                  <c:y val="-0.0456062052334981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Sheet1!$N$2:$N$121</c:f>
              <c:numCache>
                <c:formatCode>General</c:formatCode>
                <c:ptCount val="120"/>
                <c:pt idx="0">
                  <c:v>2521.285</c:v>
                </c:pt>
                <c:pt idx="1">
                  <c:v>2878.83</c:v>
                </c:pt>
                <c:pt idx="2">
                  <c:v>3231.297</c:v>
                </c:pt>
                <c:pt idx="3">
                  <c:v>3573.393</c:v>
                </c:pt>
                <c:pt idx="4">
                  <c:v>3900.265</c:v>
                </c:pt>
                <c:pt idx="5">
                  <c:v>4491.902</c:v>
                </c:pt>
                <c:pt idx="6">
                  <c:v>4750.228</c:v>
                </c:pt>
                <c:pt idx="7">
                  <c:v>4980.585</c:v>
                </c:pt>
                <c:pt idx="8">
                  <c:v>5181.779</c:v>
                </c:pt>
                <c:pt idx="9">
                  <c:v>5610.529</c:v>
                </c:pt>
                <c:pt idx="10">
                  <c:v>5698.853</c:v>
                </c:pt>
                <c:pt idx="11">
                  <c:v>5763.233</c:v>
                </c:pt>
                <c:pt idx="12">
                  <c:v>5806.356</c:v>
                </c:pt>
                <c:pt idx="13">
                  <c:v>5831.178</c:v>
                </c:pt>
                <c:pt idx="14">
                  <c:v>5826.833</c:v>
                </c:pt>
                <c:pt idx="15">
                  <c:v>5809.076</c:v>
                </c:pt>
                <c:pt idx="16">
                  <c:v>835.157</c:v>
                </c:pt>
                <c:pt idx="17">
                  <c:v>915.286</c:v>
                </c:pt>
                <c:pt idx="18">
                  <c:v>1013.244</c:v>
                </c:pt>
                <c:pt idx="19">
                  <c:v>1254.963</c:v>
                </c:pt>
                <c:pt idx="20">
                  <c:v>1394.298</c:v>
                </c:pt>
                <c:pt idx="21">
                  <c:v>1856.846</c:v>
                </c:pt>
                <c:pt idx="22">
                  <c:v>2017.562</c:v>
                </c:pt>
                <c:pt idx="23">
                  <c:v>2177.579</c:v>
                </c:pt>
                <c:pt idx="24">
                  <c:v>2334.754</c:v>
                </c:pt>
                <c:pt idx="25">
                  <c:v>2487.17</c:v>
                </c:pt>
                <c:pt idx="26">
                  <c:v>2633.175</c:v>
                </c:pt>
                <c:pt idx="27">
                  <c:v>2771.405</c:v>
                </c:pt>
                <c:pt idx="28">
                  <c:v>2900.801</c:v>
                </c:pt>
                <c:pt idx="29">
                  <c:v>3229.991</c:v>
                </c:pt>
                <c:pt idx="30">
                  <c:v>3319.506</c:v>
                </c:pt>
                <c:pt idx="31">
                  <c:v>3399.284</c:v>
                </c:pt>
                <c:pt idx="32">
                  <c:v>4615.366</c:v>
                </c:pt>
                <c:pt idx="33">
                  <c:v>5350.172</c:v>
                </c:pt>
                <c:pt idx="34">
                  <c:v>6049.757</c:v>
                </c:pt>
                <c:pt idx="35">
                  <c:v>7307.687</c:v>
                </c:pt>
                <c:pt idx="36">
                  <c:v>7852.031</c:v>
                </c:pt>
                <c:pt idx="37">
                  <c:v>8333.471</c:v>
                </c:pt>
                <c:pt idx="38">
                  <c:v>9099.06</c:v>
                </c:pt>
                <c:pt idx="39">
                  <c:v>9383.402</c:v>
                </c:pt>
                <c:pt idx="40">
                  <c:v>9767.938</c:v>
                </c:pt>
                <c:pt idx="41">
                  <c:v>9939.44</c:v>
                </c:pt>
                <c:pt idx="42">
                  <c:v>9960.939</c:v>
                </c:pt>
                <c:pt idx="43">
                  <c:v>9948.974</c:v>
                </c:pt>
                <c:pt idx="44">
                  <c:v>9853.047</c:v>
                </c:pt>
                <c:pt idx="45">
                  <c:v>9782.457</c:v>
                </c:pt>
                <c:pt idx="46">
                  <c:v>9704.691</c:v>
                </c:pt>
                <c:pt idx="47">
                  <c:v>9624.656</c:v>
                </c:pt>
                <c:pt idx="48">
                  <c:v>764.091</c:v>
                </c:pt>
                <c:pt idx="49">
                  <c:v>1172.295</c:v>
                </c:pt>
                <c:pt idx="50">
                  <c:v>2485.26</c:v>
                </c:pt>
                <c:pt idx="51">
                  <c:v>2930.72</c:v>
                </c:pt>
                <c:pt idx="52">
                  <c:v>3369.292</c:v>
                </c:pt>
                <c:pt idx="53">
                  <c:v>3794.851</c:v>
                </c:pt>
                <c:pt idx="54">
                  <c:v>4201.714</c:v>
                </c:pt>
                <c:pt idx="55">
                  <c:v>5262.366</c:v>
                </c:pt>
                <c:pt idx="56">
                  <c:v>5550.353</c:v>
                </c:pt>
                <c:pt idx="57">
                  <c:v>6014.52</c:v>
                </c:pt>
                <c:pt idx="58">
                  <c:v>6325.81</c:v>
                </c:pt>
                <c:pt idx="59">
                  <c:v>6425.631</c:v>
                </c:pt>
                <c:pt idx="60">
                  <c:v>6490.418</c:v>
                </c:pt>
                <c:pt idx="61">
                  <c:v>6522.515</c:v>
                </c:pt>
                <c:pt idx="62">
                  <c:v>4925.688</c:v>
                </c:pt>
                <c:pt idx="63">
                  <c:v>5648.856</c:v>
                </c:pt>
                <c:pt idx="64">
                  <c:v>6992.351</c:v>
                </c:pt>
                <c:pt idx="65">
                  <c:v>7595.407</c:v>
                </c:pt>
                <c:pt idx="66">
                  <c:v>8143.473</c:v>
                </c:pt>
                <c:pt idx="67">
                  <c:v>8631.63</c:v>
                </c:pt>
                <c:pt idx="68">
                  <c:v>9712.954</c:v>
                </c:pt>
                <c:pt idx="69">
                  <c:v>9946.124</c:v>
                </c:pt>
                <c:pt idx="70">
                  <c:v>10119.7</c:v>
                </c:pt>
                <c:pt idx="71">
                  <c:v>10238.043</c:v>
                </c:pt>
                <c:pt idx="72">
                  <c:v>10318.382</c:v>
                </c:pt>
                <c:pt idx="73">
                  <c:v>10207.574</c:v>
                </c:pt>
                <c:pt idx="74">
                  <c:v>10025.129</c:v>
                </c:pt>
                <c:pt idx="75">
                  <c:v>9920.935</c:v>
                </c:pt>
                <c:pt idx="76">
                  <c:v>850.865</c:v>
                </c:pt>
                <c:pt idx="77">
                  <c:v>1095.338</c:v>
                </c:pt>
                <c:pt idx="78">
                  <c:v>1376.995</c:v>
                </c:pt>
                <c:pt idx="79">
                  <c:v>2035.333</c:v>
                </c:pt>
                <c:pt idx="80">
                  <c:v>2785.973</c:v>
                </c:pt>
                <c:pt idx="81">
                  <c:v>3181.119</c:v>
                </c:pt>
                <c:pt idx="82">
                  <c:v>3581.015</c:v>
                </c:pt>
                <c:pt idx="83">
                  <c:v>3979.234</c:v>
                </c:pt>
                <c:pt idx="84">
                  <c:v>4369.487</c:v>
                </c:pt>
                <c:pt idx="85">
                  <c:v>5738.574</c:v>
                </c:pt>
                <c:pt idx="86">
                  <c:v>6009.969</c:v>
                </c:pt>
                <c:pt idx="87">
                  <c:v>6446.245</c:v>
                </c:pt>
                <c:pt idx="88">
                  <c:v>6608.369</c:v>
                </c:pt>
                <c:pt idx="89">
                  <c:v>6732.73</c:v>
                </c:pt>
                <c:pt idx="90">
                  <c:v>6871.627</c:v>
                </c:pt>
                <c:pt idx="91">
                  <c:v>2061.251</c:v>
                </c:pt>
                <c:pt idx="92">
                  <c:v>2095.465</c:v>
                </c:pt>
                <c:pt idx="93">
                  <c:v>2113.5</c:v>
                </c:pt>
                <c:pt idx="94">
                  <c:v>2148.428</c:v>
                </c:pt>
                <c:pt idx="95">
                  <c:v>2164.614</c:v>
                </c:pt>
                <c:pt idx="96">
                  <c:v>2179.785</c:v>
                </c:pt>
                <c:pt idx="97">
                  <c:v>2194.052</c:v>
                </c:pt>
                <c:pt idx="98">
                  <c:v>2207.709</c:v>
                </c:pt>
                <c:pt idx="99">
                  <c:v>2235.166</c:v>
                </c:pt>
                <c:pt idx="100">
                  <c:v>2287.153</c:v>
                </c:pt>
                <c:pt idx="101">
                  <c:v>2310.574</c:v>
                </c:pt>
                <c:pt idx="102">
                  <c:v>2338.377</c:v>
                </c:pt>
                <c:pt idx="103">
                  <c:v>2409.859</c:v>
                </c:pt>
                <c:pt idx="104">
                  <c:v>2454.6</c:v>
                </c:pt>
                <c:pt idx="105">
                  <c:v>2505.796</c:v>
                </c:pt>
                <c:pt idx="106">
                  <c:v>505.925</c:v>
                </c:pt>
                <c:pt idx="107">
                  <c:v>497.837</c:v>
                </c:pt>
                <c:pt idx="108">
                  <c:v>515.563</c:v>
                </c:pt>
                <c:pt idx="109">
                  <c:v>549.66</c:v>
                </c:pt>
                <c:pt idx="110">
                  <c:v>569.751</c:v>
                </c:pt>
                <c:pt idx="111">
                  <c:v>590.494</c:v>
                </c:pt>
                <c:pt idx="112">
                  <c:v>630.851</c:v>
                </c:pt>
                <c:pt idx="113">
                  <c:v>666.683</c:v>
                </c:pt>
                <c:pt idx="114">
                  <c:v>682.636</c:v>
                </c:pt>
                <c:pt idx="115">
                  <c:v>712.068</c:v>
                </c:pt>
                <c:pt idx="116">
                  <c:v>742.447</c:v>
                </c:pt>
                <c:pt idx="117">
                  <c:v>760.148</c:v>
                </c:pt>
                <c:pt idx="118">
                  <c:v>780.866</c:v>
                </c:pt>
                <c:pt idx="119">
                  <c:v>835.561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62816"/>
        <c:axId val="131773184"/>
      </c:scatterChart>
      <c:valAx>
        <c:axId val="13176281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773184"/>
        <c:crosses val="autoZero"/>
        <c:crossBetween val="midCat"/>
        <c:majorUnit val="2000"/>
      </c:valAx>
      <c:valAx>
        <c:axId val="131773184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762816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953322350357"/>
          <c:y val="0.0664739884393064"/>
          <c:w val="0.296677649643053"/>
          <c:h val="0.13704238921001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36849710982659"/>
          <c:w val="0.812920499794041"/>
          <c:h val="0.861994219653179"/>
        </c:manualLayout>
      </c:layout>
      <c:scatterChart>
        <c:scatterStyle val="smooth"/>
        <c:varyColors val="0"/>
        <c:ser>
          <c:idx val="8"/>
          <c:order val="8"/>
          <c:spPr>
            <a:ln w="1587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Sheet1!$O$143:$O$144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99168"/>
        <c:axId val="135980544"/>
      </c:scatterChart>
      <c:scatterChart>
        <c:scatterStyle val="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Sheet1!$G$2:$G$121</c:f>
              <c:numCache>
                <c:formatCode>General</c:formatCode>
                <c:ptCount val="120"/>
                <c:pt idx="0">
                  <c:v>3341.50128947756</c:v>
                </c:pt>
                <c:pt idx="1">
                  <c:v>3521.42898378559</c:v>
                </c:pt>
                <c:pt idx="2">
                  <c:v>3701.35667809362</c:v>
                </c:pt>
                <c:pt idx="3">
                  <c:v>3881.28437240166</c:v>
                </c:pt>
                <c:pt idx="4">
                  <c:v>4061.21206670969</c:v>
                </c:pt>
                <c:pt idx="5">
                  <c:v>4421.06745532576</c:v>
                </c:pt>
                <c:pt idx="6">
                  <c:v>4600.99514963379</c:v>
                </c:pt>
                <c:pt idx="7">
                  <c:v>4780.92284394183</c:v>
                </c:pt>
                <c:pt idx="8">
                  <c:v>4960.85053824986</c:v>
                </c:pt>
                <c:pt idx="9">
                  <c:v>5500.63362117396</c:v>
                </c:pt>
                <c:pt idx="10">
                  <c:v>5680.561315482</c:v>
                </c:pt>
                <c:pt idx="11">
                  <c:v>5860.48900979003</c:v>
                </c:pt>
                <c:pt idx="12">
                  <c:v>6040.41670409806</c:v>
                </c:pt>
                <c:pt idx="13">
                  <c:v>6220.3443984061</c:v>
                </c:pt>
                <c:pt idx="14">
                  <c:v>6760.1274813302</c:v>
                </c:pt>
                <c:pt idx="15">
                  <c:v>6940.05517563823</c:v>
                </c:pt>
                <c:pt idx="16">
                  <c:v>71.0871333042905</c:v>
                </c:pt>
                <c:pt idx="17">
                  <c:v>251.014827612324</c:v>
                </c:pt>
                <c:pt idx="18">
                  <c:v>430.942521920358</c:v>
                </c:pt>
                <c:pt idx="19">
                  <c:v>790.797910536426</c:v>
                </c:pt>
                <c:pt idx="20">
                  <c:v>970.72560484446</c:v>
                </c:pt>
                <c:pt idx="21">
                  <c:v>1510.50868776856</c:v>
                </c:pt>
                <c:pt idx="22">
                  <c:v>1690.43638207659</c:v>
                </c:pt>
                <c:pt idx="23">
                  <c:v>1870.36407638463</c:v>
                </c:pt>
                <c:pt idx="24">
                  <c:v>2050.29177069266</c:v>
                </c:pt>
                <c:pt idx="25">
                  <c:v>2230.2194650007</c:v>
                </c:pt>
                <c:pt idx="26">
                  <c:v>2410.14715930873</c:v>
                </c:pt>
                <c:pt idx="27">
                  <c:v>2590.07485361676</c:v>
                </c:pt>
                <c:pt idx="28">
                  <c:v>2770.0025479248</c:v>
                </c:pt>
                <c:pt idx="29">
                  <c:v>3309.7856308489</c:v>
                </c:pt>
                <c:pt idx="30">
                  <c:v>3489.71332515693</c:v>
                </c:pt>
                <c:pt idx="31">
                  <c:v>3669.64101946497</c:v>
                </c:pt>
                <c:pt idx="32">
                  <c:v>6238.91673912344</c:v>
                </c:pt>
                <c:pt idx="33">
                  <c:v>6418.84443343147</c:v>
                </c:pt>
                <c:pt idx="34">
                  <c:v>6598.7721277395</c:v>
                </c:pt>
                <c:pt idx="35">
                  <c:v>6958.62751635557</c:v>
                </c:pt>
                <c:pt idx="36">
                  <c:v>7138.55521066361</c:v>
                </c:pt>
                <c:pt idx="37">
                  <c:v>7318.48290497164</c:v>
                </c:pt>
                <c:pt idx="38">
                  <c:v>7678.33829358771</c:v>
                </c:pt>
                <c:pt idx="39">
                  <c:v>7858.26598789574</c:v>
                </c:pt>
                <c:pt idx="40">
                  <c:v>8218.12137651181</c:v>
                </c:pt>
                <c:pt idx="41">
                  <c:v>8577.97676512788</c:v>
                </c:pt>
                <c:pt idx="42">
                  <c:v>8757.90445943591</c:v>
                </c:pt>
                <c:pt idx="43">
                  <c:v>8937.83215374394</c:v>
                </c:pt>
                <c:pt idx="44">
                  <c:v>9297.68754236001</c:v>
                </c:pt>
                <c:pt idx="45">
                  <c:v>9477.61523666805</c:v>
                </c:pt>
                <c:pt idx="46">
                  <c:v>9657.54293097608</c:v>
                </c:pt>
                <c:pt idx="47">
                  <c:v>9837.47062528411</c:v>
                </c:pt>
                <c:pt idx="48">
                  <c:v>3148.4302772582</c:v>
                </c:pt>
                <c:pt idx="49">
                  <c:v>3328.35797156624</c:v>
                </c:pt>
                <c:pt idx="50">
                  <c:v>3868.14105449034</c:v>
                </c:pt>
                <c:pt idx="51">
                  <c:v>4048.06874879837</c:v>
                </c:pt>
                <c:pt idx="52">
                  <c:v>4227.99644310641</c:v>
                </c:pt>
                <c:pt idx="53">
                  <c:v>4407.92413741444</c:v>
                </c:pt>
                <c:pt idx="54">
                  <c:v>4587.85183172247</c:v>
                </c:pt>
                <c:pt idx="55">
                  <c:v>5127.63491464658</c:v>
                </c:pt>
                <c:pt idx="56">
                  <c:v>5307.56260895461</c:v>
                </c:pt>
                <c:pt idx="57">
                  <c:v>5667.41799757068</c:v>
                </c:pt>
                <c:pt idx="58">
                  <c:v>6027.27338618675</c:v>
                </c:pt>
                <c:pt idx="59">
                  <c:v>6207.20108049478</c:v>
                </c:pt>
                <c:pt idx="60">
                  <c:v>6387.12877480281</c:v>
                </c:pt>
                <c:pt idx="61">
                  <c:v>6567.05646911085</c:v>
                </c:pt>
                <c:pt idx="62">
                  <c:v>6376.95138855331</c:v>
                </c:pt>
                <c:pt idx="63">
                  <c:v>6556.87908286134</c:v>
                </c:pt>
                <c:pt idx="64">
                  <c:v>6916.73447147741</c:v>
                </c:pt>
                <c:pt idx="65">
                  <c:v>7096.66216578544</c:v>
                </c:pt>
                <c:pt idx="66">
                  <c:v>7276.58986009348</c:v>
                </c:pt>
                <c:pt idx="67">
                  <c:v>7456.51755440151</c:v>
                </c:pt>
                <c:pt idx="68">
                  <c:v>7996.30063732561</c:v>
                </c:pt>
                <c:pt idx="69">
                  <c:v>8176.22833163365</c:v>
                </c:pt>
                <c:pt idx="70">
                  <c:v>8356.15602594168</c:v>
                </c:pt>
                <c:pt idx="71">
                  <c:v>8536.08372024971</c:v>
                </c:pt>
                <c:pt idx="72">
                  <c:v>9075.86680317381</c:v>
                </c:pt>
                <c:pt idx="73">
                  <c:v>9435.72219178988</c:v>
                </c:pt>
                <c:pt idx="74">
                  <c:v>9795.57758040595</c:v>
                </c:pt>
                <c:pt idx="75">
                  <c:v>9975.50527471398</c:v>
                </c:pt>
                <c:pt idx="76">
                  <c:v>2926.60953807201</c:v>
                </c:pt>
                <c:pt idx="77">
                  <c:v>3106.53723238004</c:v>
                </c:pt>
                <c:pt idx="78">
                  <c:v>3286.46492668807</c:v>
                </c:pt>
                <c:pt idx="79">
                  <c:v>3646.32031530414</c:v>
                </c:pt>
                <c:pt idx="80">
                  <c:v>4006.17570392021</c:v>
                </c:pt>
                <c:pt idx="81">
                  <c:v>4186.10339822824</c:v>
                </c:pt>
                <c:pt idx="82">
                  <c:v>4366.03109253628</c:v>
                </c:pt>
                <c:pt idx="83">
                  <c:v>4545.95878684431</c:v>
                </c:pt>
                <c:pt idx="84">
                  <c:v>4725.88648115234</c:v>
                </c:pt>
                <c:pt idx="85">
                  <c:v>5445.59725838448</c:v>
                </c:pt>
                <c:pt idx="86">
                  <c:v>5625.52495269251</c:v>
                </c:pt>
                <c:pt idx="87">
                  <c:v>5985.38034130858</c:v>
                </c:pt>
                <c:pt idx="88">
                  <c:v>6165.30803561662</c:v>
                </c:pt>
                <c:pt idx="89">
                  <c:v>6345.23572992465</c:v>
                </c:pt>
                <c:pt idx="90">
                  <c:v>6705.09111854072</c:v>
                </c:pt>
                <c:pt idx="91">
                  <c:v>1251.40575300331</c:v>
                </c:pt>
                <c:pt idx="92">
                  <c:v>1611.26114161937</c:v>
                </c:pt>
                <c:pt idx="93">
                  <c:v>1791.18883592741</c:v>
                </c:pt>
                <c:pt idx="94">
                  <c:v>2151.04422454348</c:v>
                </c:pt>
                <c:pt idx="95">
                  <c:v>2330.97191885151</c:v>
                </c:pt>
                <c:pt idx="96">
                  <c:v>2510.89961315954</c:v>
                </c:pt>
                <c:pt idx="97">
                  <c:v>2690.82730746758</c:v>
                </c:pt>
                <c:pt idx="98">
                  <c:v>2870.75500177561</c:v>
                </c:pt>
                <c:pt idx="99">
                  <c:v>3230.61039039168</c:v>
                </c:pt>
                <c:pt idx="100">
                  <c:v>3770.39347331578</c:v>
                </c:pt>
                <c:pt idx="101">
                  <c:v>3950.32116762381</c:v>
                </c:pt>
                <c:pt idx="102">
                  <c:v>4130.24886193185</c:v>
                </c:pt>
                <c:pt idx="103">
                  <c:v>4490.10425054792</c:v>
                </c:pt>
                <c:pt idx="104">
                  <c:v>4670.03194485595</c:v>
                </c:pt>
                <c:pt idx="105">
                  <c:v>4849.95963916398</c:v>
                </c:pt>
                <c:pt idx="106">
                  <c:v>-2198.93609747799</c:v>
                </c:pt>
                <c:pt idx="107">
                  <c:v>-2019.00840316996</c:v>
                </c:pt>
                <c:pt idx="108">
                  <c:v>-1479.22532024586</c:v>
                </c:pt>
                <c:pt idx="109">
                  <c:v>-1119.36993162979</c:v>
                </c:pt>
                <c:pt idx="110">
                  <c:v>-939.442237321758</c:v>
                </c:pt>
                <c:pt idx="111">
                  <c:v>-759.514543013724</c:v>
                </c:pt>
                <c:pt idx="112">
                  <c:v>-399.659154397656</c:v>
                </c:pt>
                <c:pt idx="113">
                  <c:v>-39.8037657815876</c:v>
                </c:pt>
                <c:pt idx="114">
                  <c:v>140.123928526446</c:v>
                </c:pt>
                <c:pt idx="115">
                  <c:v>499.979317142514</c:v>
                </c:pt>
                <c:pt idx="116">
                  <c:v>859.834705758581</c:v>
                </c:pt>
                <c:pt idx="117">
                  <c:v>1039.76240006661</c:v>
                </c:pt>
                <c:pt idx="118">
                  <c:v>1219.69009437465</c:v>
                </c:pt>
                <c:pt idx="119">
                  <c:v>1579.54548299072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NLR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square"/>
            <c:size val="4"/>
          </c:marke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Sheet1!$H$2:$H$121</c:f>
              <c:numCache>
                <c:formatCode>General</c:formatCode>
                <c:ptCount val="120"/>
                <c:pt idx="0">
                  <c:v>2543.92065185175</c:v>
                </c:pt>
                <c:pt idx="1">
                  <c:v>2958.4365695964</c:v>
                </c:pt>
                <c:pt idx="2">
                  <c:v>3292.88755680551</c:v>
                </c:pt>
                <c:pt idx="3">
                  <c:v>3578.13282256534</c:v>
                </c:pt>
                <c:pt idx="4">
                  <c:v>3829.44293507394</c:v>
                </c:pt>
                <c:pt idx="5">
                  <c:v>4262.36111329642</c:v>
                </c:pt>
                <c:pt idx="6">
                  <c:v>4453.42664758774</c:v>
                </c:pt>
                <c:pt idx="7">
                  <c:v>4631.58669648217</c:v>
                </c:pt>
                <c:pt idx="8">
                  <c:v>4798.88427421617</c:v>
                </c:pt>
                <c:pt idx="9">
                  <c:v>5249.68450086011</c:v>
                </c:pt>
                <c:pt idx="10">
                  <c:v>5386.27470481637</c:v>
                </c:pt>
                <c:pt idx="11">
                  <c:v>5517.2616576578</c:v>
                </c:pt>
                <c:pt idx="12">
                  <c:v>5643.20508587503</c:v>
                </c:pt>
                <c:pt idx="13">
                  <c:v>5764.579639036</c:v>
                </c:pt>
                <c:pt idx="14">
                  <c:v>6105.08767043615</c:v>
                </c:pt>
                <c:pt idx="15">
                  <c:v>6211.74496995946</c:v>
                </c:pt>
                <c:pt idx="16">
                  <c:v>1287.55077870771</c:v>
                </c:pt>
                <c:pt idx="17">
                  <c:v>1497.34910409587</c:v>
                </c:pt>
                <c:pt idx="18">
                  <c:v>1666.62428518582</c:v>
                </c:pt>
                <c:pt idx="19">
                  <c:v>1938.19026135196</c:v>
                </c:pt>
                <c:pt idx="20">
                  <c:v>2052.67724768879</c:v>
                </c:pt>
                <c:pt idx="21">
                  <c:v>2344.1780911551</c:v>
                </c:pt>
                <c:pt idx="22">
                  <c:v>2428.85216553338</c:v>
                </c:pt>
                <c:pt idx="23">
                  <c:v>2508.8214090647</c:v>
                </c:pt>
                <c:pt idx="24">
                  <c:v>2584.70905642568</c:v>
                </c:pt>
                <c:pt idx="25">
                  <c:v>2657.01501425844</c:v>
                </c:pt>
                <c:pt idx="26">
                  <c:v>2726.14721118436</c:v>
                </c:pt>
                <c:pt idx="27">
                  <c:v>2792.44344295117</c:v>
                </c:pt>
                <c:pt idx="28">
                  <c:v>2856.18700309569</c:v>
                </c:pt>
                <c:pt idx="29">
                  <c:v>3034.33790738792</c:v>
                </c:pt>
                <c:pt idx="30">
                  <c:v>3089.95894916261</c:v>
                </c:pt>
                <c:pt idx="31">
                  <c:v>3143.94124965462</c:v>
                </c:pt>
                <c:pt idx="32">
                  <c:v>4546.06496479233</c:v>
                </c:pt>
                <c:pt idx="33">
                  <c:v>5286.81774323926</c:v>
                </c:pt>
                <c:pt idx="34">
                  <c:v>5884.49201200421</c:v>
                </c:pt>
                <c:pt idx="35">
                  <c:v>6843.33308475602</c:v>
                </c:pt>
                <c:pt idx="36">
                  <c:v>7247.56201779501</c:v>
                </c:pt>
                <c:pt idx="37">
                  <c:v>7616.9712724119</c:v>
                </c:pt>
                <c:pt idx="38">
                  <c:v>8276.78882081063</c:v>
                </c:pt>
                <c:pt idx="39">
                  <c:v>8575.75477176415</c:v>
                </c:pt>
                <c:pt idx="40">
                  <c:v>9126.05194289249</c:v>
                </c:pt>
                <c:pt idx="41">
                  <c:v>9625.43965688905</c:v>
                </c:pt>
                <c:pt idx="42">
                  <c:v>9859.51739698047</c:v>
                </c:pt>
                <c:pt idx="43">
                  <c:v>10084.5822024206</c:v>
                </c:pt>
                <c:pt idx="44">
                  <c:v>10510.9439972029</c:v>
                </c:pt>
                <c:pt idx="45">
                  <c:v>10713.5947414537</c:v>
                </c:pt>
                <c:pt idx="46">
                  <c:v>10909.9806809434</c:v>
                </c:pt>
                <c:pt idx="47">
                  <c:v>11100.5805773078</c:v>
                </c:pt>
                <c:pt idx="48">
                  <c:v>2675.80920703581</c:v>
                </c:pt>
                <c:pt idx="49">
                  <c:v>2978.30919641311</c:v>
                </c:pt>
                <c:pt idx="50">
                  <c:v>3668.1977926284</c:v>
                </c:pt>
                <c:pt idx="51">
                  <c:v>3855.16634964592</c:v>
                </c:pt>
                <c:pt idx="52">
                  <c:v>4027.97888213624</c:v>
                </c:pt>
                <c:pt idx="53">
                  <c:v>4189.11882478598</c:v>
                </c:pt>
                <c:pt idx="54">
                  <c:v>4340.43401721429</c:v>
                </c:pt>
                <c:pt idx="55">
                  <c:v>4748.16809182122</c:v>
                </c:pt>
                <c:pt idx="56">
                  <c:v>4871.70946806473</c:v>
                </c:pt>
                <c:pt idx="57">
                  <c:v>5104.09460224989</c:v>
                </c:pt>
                <c:pt idx="58">
                  <c:v>5319.8884637776</c:v>
                </c:pt>
                <c:pt idx="59">
                  <c:v>5422.45578378259</c:v>
                </c:pt>
                <c:pt idx="60">
                  <c:v>5521.8523074647</c:v>
                </c:pt>
                <c:pt idx="61">
                  <c:v>5618.32034973913</c:v>
                </c:pt>
                <c:pt idx="62">
                  <c:v>4746.70013666682</c:v>
                </c:pt>
                <c:pt idx="63">
                  <c:v>5520.14515822318</c:v>
                </c:pt>
                <c:pt idx="64">
                  <c:v>6676.43605374243</c:v>
                </c:pt>
                <c:pt idx="65">
                  <c:v>7145.35545361524</c:v>
                </c:pt>
                <c:pt idx="66">
                  <c:v>7567.424549979</c:v>
                </c:pt>
                <c:pt idx="67">
                  <c:v>7953.13724281467</c:v>
                </c:pt>
                <c:pt idx="68">
                  <c:v>8954.23551190136</c:v>
                </c:pt>
                <c:pt idx="69">
                  <c:v>9249.05108382021</c:v>
                </c:pt>
                <c:pt idx="70">
                  <c:v>9528.81939436499</c:v>
                </c:pt>
                <c:pt idx="71">
                  <c:v>9795.38340535576</c:v>
                </c:pt>
                <c:pt idx="72">
                  <c:v>10529.653247189</c:v>
                </c:pt>
                <c:pt idx="73">
                  <c:v>10974.8320128328</c:v>
                </c:pt>
                <c:pt idx="74">
                  <c:v>11391.4797061489</c:v>
                </c:pt>
                <c:pt idx="75">
                  <c:v>11590.4915023129</c:v>
                </c:pt>
                <c:pt idx="76">
                  <c:v>1856.0055124343</c:v>
                </c:pt>
                <c:pt idx="77">
                  <c:v>2402.4402855524</c:v>
                </c:pt>
                <c:pt idx="78">
                  <c:v>2793.90286480682</c:v>
                </c:pt>
                <c:pt idx="79">
                  <c:v>3379.13465725866</c:v>
                </c:pt>
                <c:pt idx="80">
                  <c:v>3830.08934065806</c:v>
                </c:pt>
                <c:pt idx="81">
                  <c:v>4025.30953263084</c:v>
                </c:pt>
                <c:pt idx="82">
                  <c:v>4205.74894076565</c:v>
                </c:pt>
                <c:pt idx="83">
                  <c:v>4374.00060318617</c:v>
                </c:pt>
                <c:pt idx="84">
                  <c:v>4531.99391171603</c:v>
                </c:pt>
                <c:pt idx="85">
                  <c:v>5086.71657289444</c:v>
                </c:pt>
                <c:pt idx="86">
                  <c:v>5210.41867506454</c:v>
                </c:pt>
                <c:pt idx="87">
                  <c:v>5443.9820455934</c:v>
                </c:pt>
                <c:pt idx="88">
                  <c:v>5554.67541569085</c:v>
                </c:pt>
                <c:pt idx="89">
                  <c:v>5661.76942241001</c:v>
                </c:pt>
                <c:pt idx="90">
                  <c:v>5866.27823809882</c:v>
                </c:pt>
                <c:pt idx="91">
                  <c:v>1057.42262153918</c:v>
                </c:pt>
                <c:pt idx="92">
                  <c:v>1368.74308175314</c:v>
                </c:pt>
                <c:pt idx="93">
                  <c:v>1487.30998614218</c:v>
                </c:pt>
                <c:pt idx="94">
                  <c:v>1685.79553701444</c:v>
                </c:pt>
                <c:pt idx="95">
                  <c:v>1771.72077245719</c:v>
                </c:pt>
                <c:pt idx="96">
                  <c:v>1851.14031646263</c:v>
                </c:pt>
                <c:pt idx="97">
                  <c:v>1925.19548238078</c:v>
                </c:pt>
                <c:pt idx="98">
                  <c:v>1994.73548281117</c:v>
                </c:pt>
                <c:pt idx="99">
                  <c:v>2122.73556240236</c:v>
                </c:pt>
                <c:pt idx="100">
                  <c:v>2293.34090334596</c:v>
                </c:pt>
                <c:pt idx="101">
                  <c:v>2345.69136873258</c:v>
                </c:pt>
                <c:pt idx="102">
                  <c:v>2396.14270576552</c:v>
                </c:pt>
                <c:pt idx="103">
                  <c:v>2492.00077987311</c:v>
                </c:pt>
                <c:pt idx="104">
                  <c:v>2537.68049113481</c:v>
                </c:pt>
                <c:pt idx="105">
                  <c:v>2582.01435869712</c:v>
                </c:pt>
                <c:pt idx="106">
                  <c:v>413.462438755946</c:v>
                </c:pt>
                <c:pt idx="107">
                  <c:v>535.191739881854</c:v>
                </c:pt>
                <c:pt idx="108">
                  <c:v>752.769992823154</c:v>
                </c:pt>
                <c:pt idx="109">
                  <c:v>853.229189693849</c:v>
                </c:pt>
                <c:pt idx="110">
                  <c:v>896.718401405081</c:v>
                </c:pt>
                <c:pt idx="111">
                  <c:v>936.914897178009</c:v>
                </c:pt>
                <c:pt idx="112">
                  <c:v>1009.59250530865</c:v>
                </c:pt>
                <c:pt idx="113">
                  <c:v>1074.37699535645</c:v>
                </c:pt>
                <c:pt idx="114">
                  <c:v>1104.43216057112</c:v>
                </c:pt>
                <c:pt idx="115">
                  <c:v>1160.72522301195</c:v>
                </c:pt>
                <c:pt idx="116">
                  <c:v>1212.75614648494</c:v>
                </c:pt>
                <c:pt idx="117">
                  <c:v>1237.41531395399</c:v>
                </c:pt>
                <c:pt idx="118">
                  <c:v>1261.27265106727</c:v>
                </c:pt>
                <c:pt idx="119">
                  <c:v>1306.8310899379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M5P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Sheet1!$I$2:$I$121</c:f>
              <c:numCache>
                <c:formatCode>General</c:formatCode>
                <c:ptCount val="120"/>
                <c:pt idx="0">
                  <c:v>3340.594</c:v>
                </c:pt>
                <c:pt idx="1">
                  <c:v>3489.224</c:v>
                </c:pt>
                <c:pt idx="2">
                  <c:v>3637.854</c:v>
                </c:pt>
                <c:pt idx="3">
                  <c:v>3786.484</c:v>
                </c:pt>
                <c:pt idx="4">
                  <c:v>3935.114</c:v>
                </c:pt>
                <c:pt idx="5">
                  <c:v>4338.719</c:v>
                </c:pt>
                <c:pt idx="6">
                  <c:v>4471.687</c:v>
                </c:pt>
                <c:pt idx="7">
                  <c:v>4604.656</c:v>
                </c:pt>
                <c:pt idx="8">
                  <c:v>4765.653</c:v>
                </c:pt>
                <c:pt idx="9">
                  <c:v>5159.555</c:v>
                </c:pt>
                <c:pt idx="10">
                  <c:v>5290.856</c:v>
                </c:pt>
                <c:pt idx="11">
                  <c:v>5422.157</c:v>
                </c:pt>
                <c:pt idx="12">
                  <c:v>5553.457</c:v>
                </c:pt>
                <c:pt idx="13">
                  <c:v>5684.758</c:v>
                </c:pt>
                <c:pt idx="14">
                  <c:v>6078.66</c:v>
                </c:pt>
                <c:pt idx="15">
                  <c:v>6209.961</c:v>
                </c:pt>
                <c:pt idx="16">
                  <c:v>799.793</c:v>
                </c:pt>
                <c:pt idx="17">
                  <c:v>935.93</c:v>
                </c:pt>
                <c:pt idx="18">
                  <c:v>1072.068</c:v>
                </c:pt>
                <c:pt idx="19">
                  <c:v>1344.343</c:v>
                </c:pt>
                <c:pt idx="20">
                  <c:v>1480.481</c:v>
                </c:pt>
                <c:pt idx="21">
                  <c:v>1888.894</c:v>
                </c:pt>
                <c:pt idx="22">
                  <c:v>2025.032</c:v>
                </c:pt>
                <c:pt idx="23">
                  <c:v>2161.169</c:v>
                </c:pt>
                <c:pt idx="24">
                  <c:v>2297.307</c:v>
                </c:pt>
                <c:pt idx="25">
                  <c:v>2433.445</c:v>
                </c:pt>
                <c:pt idx="26">
                  <c:v>2569.582</c:v>
                </c:pt>
                <c:pt idx="27">
                  <c:v>2705.72</c:v>
                </c:pt>
                <c:pt idx="28">
                  <c:v>2841.858</c:v>
                </c:pt>
                <c:pt idx="29">
                  <c:v>3250.271</c:v>
                </c:pt>
                <c:pt idx="30">
                  <c:v>3386.408</c:v>
                </c:pt>
                <c:pt idx="31">
                  <c:v>3522.546</c:v>
                </c:pt>
                <c:pt idx="32">
                  <c:v>5829.252</c:v>
                </c:pt>
                <c:pt idx="33">
                  <c:v>6163.577</c:v>
                </c:pt>
                <c:pt idx="34">
                  <c:v>6497.902</c:v>
                </c:pt>
                <c:pt idx="35">
                  <c:v>7166.552</c:v>
                </c:pt>
                <c:pt idx="36">
                  <c:v>7802.363</c:v>
                </c:pt>
                <c:pt idx="37">
                  <c:v>7979.739</c:v>
                </c:pt>
                <c:pt idx="38">
                  <c:v>8334.491</c:v>
                </c:pt>
                <c:pt idx="39">
                  <c:v>8622.016</c:v>
                </c:pt>
                <c:pt idx="40">
                  <c:v>8963.78</c:v>
                </c:pt>
                <c:pt idx="41">
                  <c:v>9305.545</c:v>
                </c:pt>
                <c:pt idx="42">
                  <c:v>9476.427</c:v>
                </c:pt>
                <c:pt idx="43">
                  <c:v>9647.31</c:v>
                </c:pt>
                <c:pt idx="44">
                  <c:v>9989.074</c:v>
                </c:pt>
                <c:pt idx="45">
                  <c:v>10159.956</c:v>
                </c:pt>
                <c:pt idx="46">
                  <c:v>10330.839</c:v>
                </c:pt>
                <c:pt idx="47">
                  <c:v>10501.721</c:v>
                </c:pt>
                <c:pt idx="48">
                  <c:v>1711.714</c:v>
                </c:pt>
                <c:pt idx="49">
                  <c:v>1965.511</c:v>
                </c:pt>
                <c:pt idx="50">
                  <c:v>2816.62</c:v>
                </c:pt>
                <c:pt idx="51">
                  <c:v>3101.279</c:v>
                </c:pt>
                <c:pt idx="52">
                  <c:v>3385.939</c:v>
                </c:pt>
                <c:pt idx="53">
                  <c:v>3951.804</c:v>
                </c:pt>
                <c:pt idx="54">
                  <c:v>4195.786</c:v>
                </c:pt>
                <c:pt idx="55">
                  <c:v>4927.731</c:v>
                </c:pt>
                <c:pt idx="56">
                  <c:v>5171.713</c:v>
                </c:pt>
                <c:pt idx="57">
                  <c:v>5659.677</c:v>
                </c:pt>
                <c:pt idx="58">
                  <c:v>6147.641</c:v>
                </c:pt>
                <c:pt idx="59">
                  <c:v>6391.622</c:v>
                </c:pt>
                <c:pt idx="60">
                  <c:v>6635.604</c:v>
                </c:pt>
                <c:pt idx="61">
                  <c:v>6879.586</c:v>
                </c:pt>
                <c:pt idx="62">
                  <c:v>5912.512</c:v>
                </c:pt>
                <c:pt idx="63">
                  <c:v>6246.837</c:v>
                </c:pt>
                <c:pt idx="64">
                  <c:v>6915.487</c:v>
                </c:pt>
                <c:pt idx="65">
                  <c:v>7249.813</c:v>
                </c:pt>
                <c:pt idx="66">
                  <c:v>7968.722</c:v>
                </c:pt>
                <c:pt idx="67">
                  <c:v>8146.098</c:v>
                </c:pt>
                <c:pt idx="68">
                  <c:v>8802.066</c:v>
                </c:pt>
                <c:pt idx="69">
                  <c:v>8972.948</c:v>
                </c:pt>
                <c:pt idx="70">
                  <c:v>9143.83</c:v>
                </c:pt>
                <c:pt idx="71">
                  <c:v>9314.713</c:v>
                </c:pt>
                <c:pt idx="72">
                  <c:v>9827.359</c:v>
                </c:pt>
                <c:pt idx="73">
                  <c:v>10169.124</c:v>
                </c:pt>
                <c:pt idx="74">
                  <c:v>10510.889</c:v>
                </c:pt>
                <c:pt idx="75">
                  <c:v>10681.771</c:v>
                </c:pt>
                <c:pt idx="76">
                  <c:v>1456.285</c:v>
                </c:pt>
                <c:pt idx="77">
                  <c:v>1710.083</c:v>
                </c:pt>
                <c:pt idx="78">
                  <c:v>1963.88</c:v>
                </c:pt>
                <c:pt idx="79">
                  <c:v>2471.474</c:v>
                </c:pt>
                <c:pt idx="80">
                  <c:v>3048.834</c:v>
                </c:pt>
                <c:pt idx="81">
                  <c:v>3333.494</c:v>
                </c:pt>
                <c:pt idx="82">
                  <c:v>3618.153</c:v>
                </c:pt>
                <c:pt idx="83">
                  <c:v>4190.717</c:v>
                </c:pt>
                <c:pt idx="84">
                  <c:v>4434.699</c:v>
                </c:pt>
                <c:pt idx="85">
                  <c:v>5410.627</c:v>
                </c:pt>
                <c:pt idx="86">
                  <c:v>5654.608</c:v>
                </c:pt>
                <c:pt idx="87">
                  <c:v>6142.572</c:v>
                </c:pt>
                <c:pt idx="88">
                  <c:v>6386.554</c:v>
                </c:pt>
                <c:pt idx="89">
                  <c:v>6630.536</c:v>
                </c:pt>
                <c:pt idx="90">
                  <c:v>7118.5</c:v>
                </c:pt>
                <c:pt idx="91">
                  <c:v>1887.65</c:v>
                </c:pt>
                <c:pt idx="92">
                  <c:v>2005.058</c:v>
                </c:pt>
                <c:pt idx="93">
                  <c:v>2063.762</c:v>
                </c:pt>
                <c:pt idx="94">
                  <c:v>2181.17</c:v>
                </c:pt>
                <c:pt idx="95">
                  <c:v>2239.874</c:v>
                </c:pt>
                <c:pt idx="96">
                  <c:v>2298.578</c:v>
                </c:pt>
                <c:pt idx="97">
                  <c:v>2357.282</c:v>
                </c:pt>
                <c:pt idx="98">
                  <c:v>2415.986</c:v>
                </c:pt>
                <c:pt idx="99">
                  <c:v>2533.394</c:v>
                </c:pt>
                <c:pt idx="100">
                  <c:v>2709.506</c:v>
                </c:pt>
                <c:pt idx="101">
                  <c:v>2768.21</c:v>
                </c:pt>
                <c:pt idx="102">
                  <c:v>2826.914</c:v>
                </c:pt>
                <c:pt idx="103">
                  <c:v>2944.322</c:v>
                </c:pt>
                <c:pt idx="104">
                  <c:v>3003.026</c:v>
                </c:pt>
                <c:pt idx="105">
                  <c:v>3061.73</c:v>
                </c:pt>
                <c:pt idx="106">
                  <c:v>-248.341</c:v>
                </c:pt>
                <c:pt idx="107">
                  <c:v>-189.637</c:v>
                </c:pt>
                <c:pt idx="108">
                  <c:v>-13.525</c:v>
                </c:pt>
                <c:pt idx="109">
                  <c:v>103.883</c:v>
                </c:pt>
                <c:pt idx="110">
                  <c:v>162.587</c:v>
                </c:pt>
                <c:pt idx="111">
                  <c:v>221.291</c:v>
                </c:pt>
                <c:pt idx="112">
                  <c:v>338.699</c:v>
                </c:pt>
                <c:pt idx="113">
                  <c:v>456.107</c:v>
                </c:pt>
                <c:pt idx="114">
                  <c:v>514.811</c:v>
                </c:pt>
                <c:pt idx="115">
                  <c:v>632.219</c:v>
                </c:pt>
                <c:pt idx="116">
                  <c:v>749.627</c:v>
                </c:pt>
                <c:pt idx="117">
                  <c:v>808.331</c:v>
                </c:pt>
                <c:pt idx="118">
                  <c:v>867.035</c:v>
                </c:pt>
                <c:pt idx="119">
                  <c:v>984.443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Sheet1!$J$2:$J$121</c:f>
              <c:numCache>
                <c:formatCode>General</c:formatCode>
                <c:ptCount val="120"/>
                <c:pt idx="0">
                  <c:v>2631.286</c:v>
                </c:pt>
                <c:pt idx="1">
                  <c:v>3157.045</c:v>
                </c:pt>
                <c:pt idx="2">
                  <c:v>3267.629</c:v>
                </c:pt>
                <c:pt idx="3">
                  <c:v>3346.119</c:v>
                </c:pt>
                <c:pt idx="4">
                  <c:v>3475.343</c:v>
                </c:pt>
                <c:pt idx="5">
                  <c:v>4610.724</c:v>
                </c:pt>
                <c:pt idx="6">
                  <c:v>4740.76</c:v>
                </c:pt>
                <c:pt idx="7">
                  <c:v>4980.037</c:v>
                </c:pt>
                <c:pt idx="8">
                  <c:v>5473.096</c:v>
                </c:pt>
                <c:pt idx="9">
                  <c:v>5585.9</c:v>
                </c:pt>
                <c:pt idx="10">
                  <c:v>5616.547</c:v>
                </c:pt>
                <c:pt idx="11">
                  <c:v>5601.204</c:v>
                </c:pt>
                <c:pt idx="12">
                  <c:v>5601.201</c:v>
                </c:pt>
                <c:pt idx="13">
                  <c:v>5603.553</c:v>
                </c:pt>
                <c:pt idx="14">
                  <c:v>5704.534</c:v>
                </c:pt>
                <c:pt idx="15">
                  <c:v>5834.066</c:v>
                </c:pt>
                <c:pt idx="16">
                  <c:v>1015.838</c:v>
                </c:pt>
                <c:pt idx="17">
                  <c:v>1025.857</c:v>
                </c:pt>
                <c:pt idx="18">
                  <c:v>1166.115</c:v>
                </c:pt>
                <c:pt idx="19">
                  <c:v>1178.996</c:v>
                </c:pt>
                <c:pt idx="20">
                  <c:v>1303.321</c:v>
                </c:pt>
                <c:pt idx="21">
                  <c:v>2316.65</c:v>
                </c:pt>
                <c:pt idx="22">
                  <c:v>2288.469</c:v>
                </c:pt>
                <c:pt idx="23">
                  <c:v>2236.127</c:v>
                </c:pt>
                <c:pt idx="24">
                  <c:v>2286.191</c:v>
                </c:pt>
                <c:pt idx="25">
                  <c:v>2317.106</c:v>
                </c:pt>
                <c:pt idx="26">
                  <c:v>2510.493</c:v>
                </c:pt>
                <c:pt idx="27">
                  <c:v>2806.341</c:v>
                </c:pt>
                <c:pt idx="28">
                  <c:v>3082.045</c:v>
                </c:pt>
                <c:pt idx="29">
                  <c:v>3233.86</c:v>
                </c:pt>
                <c:pt idx="30">
                  <c:v>3291.645</c:v>
                </c:pt>
                <c:pt idx="31">
                  <c:v>3343.47</c:v>
                </c:pt>
                <c:pt idx="32">
                  <c:v>4508.063</c:v>
                </c:pt>
                <c:pt idx="33">
                  <c:v>5118.38</c:v>
                </c:pt>
                <c:pt idx="34">
                  <c:v>5770.23</c:v>
                </c:pt>
                <c:pt idx="35">
                  <c:v>7579.239</c:v>
                </c:pt>
                <c:pt idx="36">
                  <c:v>8609.083</c:v>
                </c:pt>
                <c:pt idx="37">
                  <c:v>8550.115</c:v>
                </c:pt>
                <c:pt idx="38">
                  <c:v>8781.4</c:v>
                </c:pt>
                <c:pt idx="39">
                  <c:v>9156.468</c:v>
                </c:pt>
                <c:pt idx="40">
                  <c:v>9522.256</c:v>
                </c:pt>
                <c:pt idx="41">
                  <c:v>9582.275</c:v>
                </c:pt>
                <c:pt idx="42">
                  <c:v>9637.789</c:v>
                </c:pt>
                <c:pt idx="43">
                  <c:v>9674.157</c:v>
                </c:pt>
                <c:pt idx="44">
                  <c:v>9768.656</c:v>
                </c:pt>
                <c:pt idx="45">
                  <c:v>9770.109</c:v>
                </c:pt>
                <c:pt idx="46">
                  <c:v>9745.25</c:v>
                </c:pt>
                <c:pt idx="47">
                  <c:v>9756.678</c:v>
                </c:pt>
                <c:pt idx="48">
                  <c:v>1225.172</c:v>
                </c:pt>
                <c:pt idx="49">
                  <c:v>1237.902</c:v>
                </c:pt>
                <c:pt idx="50">
                  <c:v>2576.755</c:v>
                </c:pt>
                <c:pt idx="51">
                  <c:v>2863.782</c:v>
                </c:pt>
                <c:pt idx="52">
                  <c:v>3428.291</c:v>
                </c:pt>
                <c:pt idx="53">
                  <c:v>4311.843</c:v>
                </c:pt>
                <c:pt idx="54">
                  <c:v>4440.858</c:v>
                </c:pt>
                <c:pt idx="55">
                  <c:v>5350.588</c:v>
                </c:pt>
                <c:pt idx="56">
                  <c:v>5521.829</c:v>
                </c:pt>
                <c:pt idx="57">
                  <c:v>6306.997</c:v>
                </c:pt>
                <c:pt idx="58">
                  <c:v>6419.009</c:v>
                </c:pt>
                <c:pt idx="59">
                  <c:v>6491.314</c:v>
                </c:pt>
                <c:pt idx="60">
                  <c:v>6496.286</c:v>
                </c:pt>
                <c:pt idx="61">
                  <c:v>6506.824</c:v>
                </c:pt>
                <c:pt idx="62">
                  <c:v>4830.705</c:v>
                </c:pt>
                <c:pt idx="63">
                  <c:v>5264.485</c:v>
                </c:pt>
                <c:pt idx="64">
                  <c:v>6577.193</c:v>
                </c:pt>
                <c:pt idx="65">
                  <c:v>7910.022</c:v>
                </c:pt>
                <c:pt idx="66">
                  <c:v>8840.682</c:v>
                </c:pt>
                <c:pt idx="67">
                  <c:v>8762.587</c:v>
                </c:pt>
                <c:pt idx="68">
                  <c:v>9662.935</c:v>
                </c:pt>
                <c:pt idx="69">
                  <c:v>9811.793</c:v>
                </c:pt>
                <c:pt idx="70">
                  <c:v>9897.482</c:v>
                </c:pt>
                <c:pt idx="71">
                  <c:v>9866.431</c:v>
                </c:pt>
                <c:pt idx="72">
                  <c:v>9963.756</c:v>
                </c:pt>
                <c:pt idx="73">
                  <c:v>10065.325</c:v>
                </c:pt>
                <c:pt idx="74">
                  <c:v>10104.265</c:v>
                </c:pt>
                <c:pt idx="75">
                  <c:v>10105.254</c:v>
                </c:pt>
                <c:pt idx="76">
                  <c:v>1304.934</c:v>
                </c:pt>
                <c:pt idx="77">
                  <c:v>1310.362</c:v>
                </c:pt>
                <c:pt idx="78">
                  <c:v>1320.209</c:v>
                </c:pt>
                <c:pt idx="79">
                  <c:v>1639.836</c:v>
                </c:pt>
                <c:pt idx="80">
                  <c:v>2893.21</c:v>
                </c:pt>
                <c:pt idx="81">
                  <c:v>3009.145</c:v>
                </c:pt>
                <c:pt idx="82">
                  <c:v>3620.375</c:v>
                </c:pt>
                <c:pt idx="83">
                  <c:v>4575.279</c:v>
                </c:pt>
                <c:pt idx="84">
                  <c:v>4839.529</c:v>
                </c:pt>
                <c:pt idx="85">
                  <c:v>5822.33</c:v>
                </c:pt>
                <c:pt idx="86">
                  <c:v>6010.494</c:v>
                </c:pt>
                <c:pt idx="87">
                  <c:v>6637.757</c:v>
                </c:pt>
                <c:pt idx="88">
                  <c:v>6683.92</c:v>
                </c:pt>
                <c:pt idx="89">
                  <c:v>6687.015</c:v>
                </c:pt>
                <c:pt idx="90">
                  <c:v>6752.956</c:v>
                </c:pt>
                <c:pt idx="91">
                  <c:v>2025.117</c:v>
                </c:pt>
                <c:pt idx="92">
                  <c:v>2222.741</c:v>
                </c:pt>
                <c:pt idx="93">
                  <c:v>2129.214</c:v>
                </c:pt>
                <c:pt idx="94">
                  <c:v>2096.567</c:v>
                </c:pt>
                <c:pt idx="95">
                  <c:v>2168.494</c:v>
                </c:pt>
                <c:pt idx="96">
                  <c:v>2166.335</c:v>
                </c:pt>
                <c:pt idx="97">
                  <c:v>2271.518</c:v>
                </c:pt>
                <c:pt idx="98">
                  <c:v>2434.032</c:v>
                </c:pt>
                <c:pt idx="99">
                  <c:v>2200.483</c:v>
                </c:pt>
                <c:pt idx="100">
                  <c:v>2418.298</c:v>
                </c:pt>
                <c:pt idx="101">
                  <c:v>2435.382</c:v>
                </c:pt>
                <c:pt idx="102">
                  <c:v>2401.092</c:v>
                </c:pt>
                <c:pt idx="103">
                  <c:v>2331.613</c:v>
                </c:pt>
                <c:pt idx="104">
                  <c:v>2497.817</c:v>
                </c:pt>
                <c:pt idx="105">
                  <c:v>2616.204</c:v>
                </c:pt>
                <c:pt idx="106">
                  <c:v>521.506</c:v>
                </c:pt>
                <c:pt idx="107">
                  <c:v>554.084</c:v>
                </c:pt>
                <c:pt idx="108">
                  <c:v>589.276</c:v>
                </c:pt>
                <c:pt idx="109">
                  <c:v>627.029</c:v>
                </c:pt>
                <c:pt idx="110">
                  <c:v>733.911</c:v>
                </c:pt>
                <c:pt idx="111">
                  <c:v>737.842</c:v>
                </c:pt>
                <c:pt idx="112">
                  <c:v>748.119</c:v>
                </c:pt>
                <c:pt idx="113">
                  <c:v>684.599</c:v>
                </c:pt>
                <c:pt idx="114">
                  <c:v>724.568</c:v>
                </c:pt>
                <c:pt idx="115">
                  <c:v>785.144</c:v>
                </c:pt>
                <c:pt idx="116">
                  <c:v>804.936</c:v>
                </c:pt>
                <c:pt idx="117">
                  <c:v>761.595</c:v>
                </c:pt>
                <c:pt idx="118">
                  <c:v>859.326</c:v>
                </c:pt>
                <c:pt idx="119">
                  <c:v>1069.075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Sheet1!$K$2:$K$121</c:f>
              <c:numCache>
                <c:formatCode>General</c:formatCode>
                <c:ptCount val="120"/>
                <c:pt idx="0">
                  <c:v>2405</c:v>
                </c:pt>
                <c:pt idx="1">
                  <c:v>3296.25</c:v>
                </c:pt>
                <c:pt idx="2">
                  <c:v>3296.25</c:v>
                </c:pt>
                <c:pt idx="3">
                  <c:v>3296.25</c:v>
                </c:pt>
                <c:pt idx="4">
                  <c:v>3296.25</c:v>
                </c:pt>
                <c:pt idx="5">
                  <c:v>4858</c:v>
                </c:pt>
                <c:pt idx="6">
                  <c:v>4858</c:v>
                </c:pt>
                <c:pt idx="7">
                  <c:v>4858</c:v>
                </c:pt>
                <c:pt idx="8">
                  <c:v>5510</c:v>
                </c:pt>
                <c:pt idx="9">
                  <c:v>5658.5</c:v>
                </c:pt>
                <c:pt idx="10">
                  <c:v>5658.5</c:v>
                </c:pt>
                <c:pt idx="11">
                  <c:v>5770.4</c:v>
                </c:pt>
                <c:pt idx="12">
                  <c:v>5770.4</c:v>
                </c:pt>
                <c:pt idx="13">
                  <c:v>5770.4</c:v>
                </c:pt>
                <c:pt idx="14">
                  <c:v>5770.4</c:v>
                </c:pt>
                <c:pt idx="15">
                  <c:v>5770.4</c:v>
                </c:pt>
                <c:pt idx="16">
                  <c:v>995.25</c:v>
                </c:pt>
                <c:pt idx="17">
                  <c:v>995.25</c:v>
                </c:pt>
                <c:pt idx="18">
                  <c:v>995.25</c:v>
                </c:pt>
                <c:pt idx="19">
                  <c:v>995.25</c:v>
                </c:pt>
                <c:pt idx="20">
                  <c:v>1220</c:v>
                </c:pt>
                <c:pt idx="21">
                  <c:v>2235.333</c:v>
                </c:pt>
                <c:pt idx="22">
                  <c:v>2235.333</c:v>
                </c:pt>
                <c:pt idx="23">
                  <c:v>2235.333</c:v>
                </c:pt>
                <c:pt idx="24">
                  <c:v>2235.333</c:v>
                </c:pt>
                <c:pt idx="25">
                  <c:v>2235.333</c:v>
                </c:pt>
                <c:pt idx="26">
                  <c:v>2235.333</c:v>
                </c:pt>
                <c:pt idx="27">
                  <c:v>2776</c:v>
                </c:pt>
                <c:pt idx="28">
                  <c:v>3286.75</c:v>
                </c:pt>
                <c:pt idx="29">
                  <c:v>3286.75</c:v>
                </c:pt>
                <c:pt idx="30">
                  <c:v>3286.75</c:v>
                </c:pt>
                <c:pt idx="31">
                  <c:v>3286.75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8808.333</c:v>
                </c:pt>
                <c:pt idx="37">
                  <c:v>8808.333</c:v>
                </c:pt>
                <c:pt idx="38">
                  <c:v>8808.333</c:v>
                </c:pt>
                <c:pt idx="39">
                  <c:v>9631</c:v>
                </c:pt>
                <c:pt idx="40">
                  <c:v>9631</c:v>
                </c:pt>
                <c:pt idx="41">
                  <c:v>9631</c:v>
                </c:pt>
                <c:pt idx="42">
                  <c:v>9631</c:v>
                </c:pt>
                <c:pt idx="43">
                  <c:v>9631</c:v>
                </c:pt>
                <c:pt idx="44">
                  <c:v>9849.5</c:v>
                </c:pt>
                <c:pt idx="45">
                  <c:v>9849.5</c:v>
                </c:pt>
                <c:pt idx="46">
                  <c:v>9849.5</c:v>
                </c:pt>
                <c:pt idx="47">
                  <c:v>9849.5</c:v>
                </c:pt>
                <c:pt idx="48">
                  <c:v>1007.5</c:v>
                </c:pt>
                <c:pt idx="49">
                  <c:v>1007.5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4348</c:v>
                </c:pt>
                <c:pt idx="54">
                  <c:v>4348</c:v>
                </c:pt>
                <c:pt idx="55">
                  <c:v>5315.5</c:v>
                </c:pt>
                <c:pt idx="56">
                  <c:v>5315.5</c:v>
                </c:pt>
                <c:pt idx="57">
                  <c:v>6379.8</c:v>
                </c:pt>
                <c:pt idx="58">
                  <c:v>6379.8</c:v>
                </c:pt>
                <c:pt idx="59">
                  <c:v>6379.8</c:v>
                </c:pt>
                <c:pt idx="60">
                  <c:v>6379.8</c:v>
                </c:pt>
                <c:pt idx="61">
                  <c:v>6379.8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9074</c:v>
                </c:pt>
                <c:pt idx="67">
                  <c:v>9074</c:v>
                </c:pt>
                <c:pt idx="68">
                  <c:v>9902</c:v>
                </c:pt>
                <c:pt idx="69">
                  <c:v>9902</c:v>
                </c:pt>
                <c:pt idx="70">
                  <c:v>9902</c:v>
                </c:pt>
                <c:pt idx="71">
                  <c:v>9902</c:v>
                </c:pt>
                <c:pt idx="72">
                  <c:v>9902</c:v>
                </c:pt>
                <c:pt idx="73">
                  <c:v>10150.667</c:v>
                </c:pt>
                <c:pt idx="74">
                  <c:v>10150.667</c:v>
                </c:pt>
                <c:pt idx="75">
                  <c:v>10150.667</c:v>
                </c:pt>
                <c:pt idx="76">
                  <c:v>1250.333</c:v>
                </c:pt>
                <c:pt idx="77">
                  <c:v>1250.333</c:v>
                </c:pt>
                <c:pt idx="78">
                  <c:v>1250.333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4648</c:v>
                </c:pt>
                <c:pt idx="84">
                  <c:v>4648</c:v>
                </c:pt>
                <c:pt idx="85">
                  <c:v>5621</c:v>
                </c:pt>
                <c:pt idx="86">
                  <c:v>5967</c:v>
                </c:pt>
                <c:pt idx="87">
                  <c:v>6675.5</c:v>
                </c:pt>
                <c:pt idx="88">
                  <c:v>6675.5</c:v>
                </c:pt>
                <c:pt idx="89">
                  <c:v>6675.5</c:v>
                </c:pt>
                <c:pt idx="90">
                  <c:v>6675.5</c:v>
                </c:pt>
                <c:pt idx="91">
                  <c:v>2150.556</c:v>
                </c:pt>
                <c:pt idx="92">
                  <c:v>2150.556</c:v>
                </c:pt>
                <c:pt idx="93">
                  <c:v>2150.556</c:v>
                </c:pt>
                <c:pt idx="94">
                  <c:v>2150.556</c:v>
                </c:pt>
                <c:pt idx="95">
                  <c:v>2150.556</c:v>
                </c:pt>
                <c:pt idx="96">
                  <c:v>2150.556</c:v>
                </c:pt>
                <c:pt idx="97">
                  <c:v>2150.556</c:v>
                </c:pt>
                <c:pt idx="98">
                  <c:v>2150.556</c:v>
                </c:pt>
                <c:pt idx="99">
                  <c:v>2150.556</c:v>
                </c:pt>
                <c:pt idx="100">
                  <c:v>2389.833</c:v>
                </c:pt>
                <c:pt idx="101">
                  <c:v>2389.833</c:v>
                </c:pt>
                <c:pt idx="102">
                  <c:v>2389.833</c:v>
                </c:pt>
                <c:pt idx="103">
                  <c:v>2389.833</c:v>
                </c:pt>
                <c:pt idx="104">
                  <c:v>2389.833</c:v>
                </c:pt>
                <c:pt idx="105">
                  <c:v>2389.833</c:v>
                </c:pt>
                <c:pt idx="106">
                  <c:v>576.333</c:v>
                </c:pt>
                <c:pt idx="107">
                  <c:v>576.333</c:v>
                </c:pt>
                <c:pt idx="108">
                  <c:v>576.333</c:v>
                </c:pt>
                <c:pt idx="109">
                  <c:v>576.333</c:v>
                </c:pt>
                <c:pt idx="110">
                  <c:v>576.333</c:v>
                </c:pt>
                <c:pt idx="111">
                  <c:v>576.333</c:v>
                </c:pt>
                <c:pt idx="112">
                  <c:v>576.333</c:v>
                </c:pt>
                <c:pt idx="113">
                  <c:v>576.333</c:v>
                </c:pt>
                <c:pt idx="114">
                  <c:v>576.333</c:v>
                </c:pt>
                <c:pt idx="115">
                  <c:v>760.6</c:v>
                </c:pt>
                <c:pt idx="116">
                  <c:v>760.6</c:v>
                </c:pt>
                <c:pt idx="117">
                  <c:v>760.6</c:v>
                </c:pt>
                <c:pt idx="118">
                  <c:v>760.6</c:v>
                </c:pt>
                <c:pt idx="119">
                  <c:v>760.6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Sheet1!$L$1</c:f>
              <c:strCache>
                <c:ptCount val="1"/>
                <c:pt idx="0">
                  <c:v>REP Tree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Sheet1!$L$2:$L$121</c:f>
              <c:numCache>
                <c:formatCode>General</c:formatCode>
                <c:ptCount val="120"/>
                <c:pt idx="0">
                  <c:v>3118</c:v>
                </c:pt>
                <c:pt idx="1">
                  <c:v>3118</c:v>
                </c:pt>
                <c:pt idx="2">
                  <c:v>3118</c:v>
                </c:pt>
                <c:pt idx="3">
                  <c:v>3118</c:v>
                </c:pt>
                <c:pt idx="4">
                  <c:v>3118</c:v>
                </c:pt>
                <c:pt idx="5">
                  <c:v>5477.545</c:v>
                </c:pt>
                <c:pt idx="6">
                  <c:v>5477.545</c:v>
                </c:pt>
                <c:pt idx="7">
                  <c:v>5477.545</c:v>
                </c:pt>
                <c:pt idx="8">
                  <c:v>5477.545</c:v>
                </c:pt>
                <c:pt idx="9">
                  <c:v>5477.545</c:v>
                </c:pt>
                <c:pt idx="10">
                  <c:v>5477.545</c:v>
                </c:pt>
                <c:pt idx="11">
                  <c:v>5477.545</c:v>
                </c:pt>
                <c:pt idx="12">
                  <c:v>5477.545</c:v>
                </c:pt>
                <c:pt idx="13">
                  <c:v>5477.545</c:v>
                </c:pt>
                <c:pt idx="14">
                  <c:v>5477.545</c:v>
                </c:pt>
                <c:pt idx="15">
                  <c:v>5477.545</c:v>
                </c:pt>
                <c:pt idx="16">
                  <c:v>1040.2</c:v>
                </c:pt>
                <c:pt idx="17">
                  <c:v>1040.2</c:v>
                </c:pt>
                <c:pt idx="18">
                  <c:v>1040.2</c:v>
                </c:pt>
                <c:pt idx="19">
                  <c:v>1040.2</c:v>
                </c:pt>
                <c:pt idx="20">
                  <c:v>1040.2</c:v>
                </c:pt>
                <c:pt idx="21">
                  <c:v>2218.2</c:v>
                </c:pt>
                <c:pt idx="22">
                  <c:v>2218.2</c:v>
                </c:pt>
                <c:pt idx="23">
                  <c:v>2218.2</c:v>
                </c:pt>
                <c:pt idx="24">
                  <c:v>2218.2</c:v>
                </c:pt>
                <c:pt idx="25">
                  <c:v>2218.2</c:v>
                </c:pt>
                <c:pt idx="26">
                  <c:v>3040.667</c:v>
                </c:pt>
                <c:pt idx="27">
                  <c:v>3040.667</c:v>
                </c:pt>
                <c:pt idx="28">
                  <c:v>3040.667</c:v>
                </c:pt>
                <c:pt idx="29">
                  <c:v>3040.667</c:v>
                </c:pt>
                <c:pt idx="30">
                  <c:v>3040.667</c:v>
                </c:pt>
                <c:pt idx="31">
                  <c:v>3040.667</c:v>
                </c:pt>
                <c:pt idx="32">
                  <c:v>5040.2</c:v>
                </c:pt>
                <c:pt idx="33">
                  <c:v>5040.2</c:v>
                </c:pt>
                <c:pt idx="34">
                  <c:v>5040.2</c:v>
                </c:pt>
                <c:pt idx="35">
                  <c:v>7248.667</c:v>
                </c:pt>
                <c:pt idx="36">
                  <c:v>8914.6</c:v>
                </c:pt>
                <c:pt idx="37">
                  <c:v>8914.6</c:v>
                </c:pt>
                <c:pt idx="38">
                  <c:v>8914.6</c:v>
                </c:pt>
                <c:pt idx="39">
                  <c:v>9853.824</c:v>
                </c:pt>
                <c:pt idx="40">
                  <c:v>9853.824</c:v>
                </c:pt>
                <c:pt idx="41">
                  <c:v>9853.824</c:v>
                </c:pt>
                <c:pt idx="42">
                  <c:v>9853.824</c:v>
                </c:pt>
                <c:pt idx="43">
                  <c:v>9853.824</c:v>
                </c:pt>
                <c:pt idx="44">
                  <c:v>9853.824</c:v>
                </c:pt>
                <c:pt idx="45">
                  <c:v>9853.824</c:v>
                </c:pt>
                <c:pt idx="46">
                  <c:v>9853.824</c:v>
                </c:pt>
                <c:pt idx="47">
                  <c:v>9853.824</c:v>
                </c:pt>
                <c:pt idx="48">
                  <c:v>1206.833</c:v>
                </c:pt>
                <c:pt idx="49">
                  <c:v>1206.833</c:v>
                </c:pt>
                <c:pt idx="50">
                  <c:v>2814.5</c:v>
                </c:pt>
                <c:pt idx="51">
                  <c:v>2814.5</c:v>
                </c:pt>
                <c:pt idx="52">
                  <c:v>2814.5</c:v>
                </c:pt>
                <c:pt idx="53">
                  <c:v>4498</c:v>
                </c:pt>
                <c:pt idx="54">
                  <c:v>4498</c:v>
                </c:pt>
                <c:pt idx="55">
                  <c:v>5417.333</c:v>
                </c:pt>
                <c:pt idx="56">
                  <c:v>5417.333</c:v>
                </c:pt>
                <c:pt idx="57">
                  <c:v>6456.8</c:v>
                </c:pt>
                <c:pt idx="58">
                  <c:v>6456.8</c:v>
                </c:pt>
                <c:pt idx="59">
                  <c:v>6456.8</c:v>
                </c:pt>
                <c:pt idx="60">
                  <c:v>6456.8</c:v>
                </c:pt>
                <c:pt idx="61">
                  <c:v>6456.8</c:v>
                </c:pt>
                <c:pt idx="62">
                  <c:v>5040.2</c:v>
                </c:pt>
                <c:pt idx="63">
                  <c:v>5040.2</c:v>
                </c:pt>
                <c:pt idx="64">
                  <c:v>7248.667</c:v>
                </c:pt>
                <c:pt idx="65">
                  <c:v>7248.667</c:v>
                </c:pt>
                <c:pt idx="66">
                  <c:v>8914.6</c:v>
                </c:pt>
                <c:pt idx="67">
                  <c:v>8914.6</c:v>
                </c:pt>
                <c:pt idx="68">
                  <c:v>9853.824</c:v>
                </c:pt>
                <c:pt idx="69">
                  <c:v>9853.824</c:v>
                </c:pt>
                <c:pt idx="70">
                  <c:v>9853.824</c:v>
                </c:pt>
                <c:pt idx="71">
                  <c:v>9853.824</c:v>
                </c:pt>
                <c:pt idx="72">
                  <c:v>9853.824</c:v>
                </c:pt>
                <c:pt idx="73">
                  <c:v>9853.824</c:v>
                </c:pt>
                <c:pt idx="74">
                  <c:v>9853.824</c:v>
                </c:pt>
                <c:pt idx="75">
                  <c:v>9853.824</c:v>
                </c:pt>
                <c:pt idx="76">
                  <c:v>1206.833</c:v>
                </c:pt>
                <c:pt idx="77">
                  <c:v>1206.833</c:v>
                </c:pt>
                <c:pt idx="78">
                  <c:v>1206.833</c:v>
                </c:pt>
                <c:pt idx="79">
                  <c:v>1206.833</c:v>
                </c:pt>
                <c:pt idx="80">
                  <c:v>2814.5</c:v>
                </c:pt>
                <c:pt idx="81">
                  <c:v>2814.5</c:v>
                </c:pt>
                <c:pt idx="82">
                  <c:v>2814.5</c:v>
                </c:pt>
                <c:pt idx="83">
                  <c:v>4498</c:v>
                </c:pt>
                <c:pt idx="84">
                  <c:v>4498</c:v>
                </c:pt>
                <c:pt idx="85">
                  <c:v>5417.333</c:v>
                </c:pt>
                <c:pt idx="86">
                  <c:v>6456.8</c:v>
                </c:pt>
                <c:pt idx="87">
                  <c:v>6456.8</c:v>
                </c:pt>
                <c:pt idx="88">
                  <c:v>6456.8</c:v>
                </c:pt>
                <c:pt idx="89">
                  <c:v>6456.8</c:v>
                </c:pt>
                <c:pt idx="90">
                  <c:v>6456.8</c:v>
                </c:pt>
                <c:pt idx="91">
                  <c:v>2141.5</c:v>
                </c:pt>
                <c:pt idx="92">
                  <c:v>2141.5</c:v>
                </c:pt>
                <c:pt idx="93">
                  <c:v>2141.5</c:v>
                </c:pt>
                <c:pt idx="94">
                  <c:v>2141.5</c:v>
                </c:pt>
                <c:pt idx="95">
                  <c:v>2141.5</c:v>
                </c:pt>
                <c:pt idx="96">
                  <c:v>2141.5</c:v>
                </c:pt>
                <c:pt idx="97">
                  <c:v>2141.5</c:v>
                </c:pt>
                <c:pt idx="98">
                  <c:v>2141.5</c:v>
                </c:pt>
                <c:pt idx="99">
                  <c:v>2366</c:v>
                </c:pt>
                <c:pt idx="100">
                  <c:v>2366</c:v>
                </c:pt>
                <c:pt idx="101">
                  <c:v>2366</c:v>
                </c:pt>
                <c:pt idx="102">
                  <c:v>2366</c:v>
                </c:pt>
                <c:pt idx="103">
                  <c:v>2366</c:v>
                </c:pt>
                <c:pt idx="104">
                  <c:v>2366</c:v>
                </c:pt>
                <c:pt idx="105">
                  <c:v>2366</c:v>
                </c:pt>
                <c:pt idx="106">
                  <c:v>540.333</c:v>
                </c:pt>
                <c:pt idx="107">
                  <c:v>540.333</c:v>
                </c:pt>
                <c:pt idx="108">
                  <c:v>540.333</c:v>
                </c:pt>
                <c:pt idx="109">
                  <c:v>540.333</c:v>
                </c:pt>
                <c:pt idx="110">
                  <c:v>540.333</c:v>
                </c:pt>
                <c:pt idx="111">
                  <c:v>540.333</c:v>
                </c:pt>
                <c:pt idx="112">
                  <c:v>718.5</c:v>
                </c:pt>
                <c:pt idx="113">
                  <c:v>718.5</c:v>
                </c:pt>
                <c:pt idx="114">
                  <c:v>718.5</c:v>
                </c:pt>
                <c:pt idx="115">
                  <c:v>718.5</c:v>
                </c:pt>
                <c:pt idx="116">
                  <c:v>718.5</c:v>
                </c:pt>
                <c:pt idx="117">
                  <c:v>718.5</c:v>
                </c:pt>
                <c:pt idx="118">
                  <c:v>718.5</c:v>
                </c:pt>
                <c:pt idx="119">
                  <c:v>718.5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Sheet1!$M$1</c:f>
              <c:strCache>
                <c:ptCount val="1"/>
                <c:pt idx="0">
                  <c:v>GP_PUK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Sheet1!$M$2:$M$121</c:f>
              <c:numCache>
                <c:formatCode>General</c:formatCode>
                <c:ptCount val="120"/>
                <c:pt idx="0">
                  <c:v>2659.25</c:v>
                </c:pt>
                <c:pt idx="1">
                  <c:v>2876.124</c:v>
                </c:pt>
                <c:pt idx="2">
                  <c:v>3126.861</c:v>
                </c:pt>
                <c:pt idx="3">
                  <c:v>3417.475</c:v>
                </c:pt>
                <c:pt idx="4">
                  <c:v>3750.723</c:v>
                </c:pt>
                <c:pt idx="5">
                  <c:v>4491.292</c:v>
                </c:pt>
                <c:pt idx="6">
                  <c:v>4841.062</c:v>
                </c:pt>
                <c:pt idx="7">
                  <c:v>5136.908</c:v>
                </c:pt>
                <c:pt idx="8">
                  <c:v>5361.993</c:v>
                </c:pt>
                <c:pt idx="9">
                  <c:v>5652.267</c:v>
                </c:pt>
                <c:pt idx="10">
                  <c:v>5675.669</c:v>
                </c:pt>
                <c:pt idx="11">
                  <c:v>5692.819</c:v>
                </c:pt>
                <c:pt idx="12">
                  <c:v>5714.898</c:v>
                </c:pt>
                <c:pt idx="13">
                  <c:v>5745.628</c:v>
                </c:pt>
                <c:pt idx="14">
                  <c:v>5843.71</c:v>
                </c:pt>
                <c:pt idx="15">
                  <c:v>5854.226</c:v>
                </c:pt>
                <c:pt idx="16">
                  <c:v>988.332</c:v>
                </c:pt>
                <c:pt idx="17">
                  <c:v>935.48</c:v>
                </c:pt>
                <c:pt idx="18">
                  <c:v>933.165</c:v>
                </c:pt>
                <c:pt idx="19">
                  <c:v>1132.399</c:v>
                </c:pt>
                <c:pt idx="20">
                  <c:v>1331.97</c:v>
                </c:pt>
                <c:pt idx="21">
                  <c:v>1985.853</c:v>
                </c:pt>
                <c:pt idx="22">
                  <c:v>2116.529</c:v>
                </c:pt>
                <c:pt idx="23">
                  <c:v>2202.47</c:v>
                </c:pt>
                <c:pt idx="24">
                  <c:v>2279.573</c:v>
                </c:pt>
                <c:pt idx="25">
                  <c:v>2387.259</c:v>
                </c:pt>
                <c:pt idx="26">
                  <c:v>2546.867</c:v>
                </c:pt>
                <c:pt idx="27">
                  <c:v>2750.059</c:v>
                </c:pt>
                <c:pt idx="28">
                  <c:v>2963.694</c:v>
                </c:pt>
                <c:pt idx="29">
                  <c:v>3334.438</c:v>
                </c:pt>
                <c:pt idx="30">
                  <c:v>3346.102</c:v>
                </c:pt>
                <c:pt idx="31">
                  <c:v>3332.756</c:v>
                </c:pt>
                <c:pt idx="32">
                  <c:v>4299.03</c:v>
                </c:pt>
                <c:pt idx="33">
                  <c:v>5079.277</c:v>
                </c:pt>
                <c:pt idx="34">
                  <c:v>5941.744</c:v>
                </c:pt>
                <c:pt idx="35">
                  <c:v>7612.104</c:v>
                </c:pt>
                <c:pt idx="36">
                  <c:v>8269.718</c:v>
                </c:pt>
                <c:pt idx="37">
                  <c:v>8752.305</c:v>
                </c:pt>
                <c:pt idx="38">
                  <c:v>9258.843</c:v>
                </c:pt>
                <c:pt idx="39">
                  <c:v>9374.747</c:v>
                </c:pt>
                <c:pt idx="40">
                  <c:v>9526.206</c:v>
                </c:pt>
                <c:pt idx="41">
                  <c:v>9644.551</c:v>
                </c:pt>
                <c:pt idx="42">
                  <c:v>9694.152</c:v>
                </c:pt>
                <c:pt idx="43">
                  <c:v>9740.924</c:v>
                </c:pt>
                <c:pt idx="44">
                  <c:v>9829.015</c:v>
                </c:pt>
                <c:pt idx="45">
                  <c:v>9856.814</c:v>
                </c:pt>
                <c:pt idx="46">
                  <c:v>9855.157</c:v>
                </c:pt>
                <c:pt idx="47">
                  <c:v>9808.521</c:v>
                </c:pt>
                <c:pt idx="48">
                  <c:v>955.346</c:v>
                </c:pt>
                <c:pt idx="49">
                  <c:v>1081.292</c:v>
                </c:pt>
                <c:pt idx="50">
                  <c:v>2208.944</c:v>
                </c:pt>
                <c:pt idx="51">
                  <c:v>2779.456</c:v>
                </c:pt>
                <c:pt idx="52">
                  <c:v>3368.947</c:v>
                </c:pt>
                <c:pt idx="53">
                  <c:v>3918.753</c:v>
                </c:pt>
                <c:pt idx="54">
                  <c:v>4386.694</c:v>
                </c:pt>
                <c:pt idx="55">
                  <c:v>5316.399</c:v>
                </c:pt>
                <c:pt idx="56">
                  <c:v>5561.608</c:v>
                </c:pt>
                <c:pt idx="57">
                  <c:v>6033.453</c:v>
                </c:pt>
                <c:pt idx="58">
                  <c:v>6362.54</c:v>
                </c:pt>
                <c:pt idx="59">
                  <c:v>6436.876</c:v>
                </c:pt>
                <c:pt idx="60">
                  <c:v>6454.639</c:v>
                </c:pt>
                <c:pt idx="61">
                  <c:v>6428.705</c:v>
                </c:pt>
                <c:pt idx="62">
                  <c:v>4621.077</c:v>
                </c:pt>
                <c:pt idx="63">
                  <c:v>5301.118</c:v>
                </c:pt>
                <c:pt idx="64">
                  <c:v>6954.13</c:v>
                </c:pt>
                <c:pt idx="65">
                  <c:v>7802.439</c:v>
                </c:pt>
                <c:pt idx="66">
                  <c:v>8558.433</c:v>
                </c:pt>
                <c:pt idx="67">
                  <c:v>9155.328</c:v>
                </c:pt>
                <c:pt idx="68">
                  <c:v>9885.361</c:v>
                </c:pt>
                <c:pt idx="69">
                  <c:v>9902.53</c:v>
                </c:pt>
                <c:pt idx="70">
                  <c:v>9892.718</c:v>
                </c:pt>
                <c:pt idx="71">
                  <c:v>9889.379</c:v>
                </c:pt>
                <c:pt idx="72">
                  <c:v>10010.907</c:v>
                </c:pt>
                <c:pt idx="73">
                  <c:v>10136.959</c:v>
                </c:pt>
                <c:pt idx="74">
                  <c:v>10166.26</c:v>
                </c:pt>
                <c:pt idx="75">
                  <c:v>10106.601</c:v>
                </c:pt>
                <c:pt idx="76">
                  <c:v>1272.41</c:v>
                </c:pt>
                <c:pt idx="77">
                  <c:v>1212.406</c:v>
                </c:pt>
                <c:pt idx="78">
                  <c:v>1223.915</c:v>
                </c:pt>
                <c:pt idx="79">
                  <c:v>1572.864</c:v>
                </c:pt>
                <c:pt idx="80">
                  <c:v>2448.442</c:v>
                </c:pt>
                <c:pt idx="81">
                  <c:v>3035.342</c:v>
                </c:pt>
                <c:pt idx="82">
                  <c:v>3646.811</c:v>
                </c:pt>
                <c:pt idx="83">
                  <c:v>4215.915</c:v>
                </c:pt>
                <c:pt idx="84">
                  <c:v>4692.146</c:v>
                </c:pt>
                <c:pt idx="85">
                  <c:v>5770.116</c:v>
                </c:pt>
                <c:pt idx="86">
                  <c:v>5997.442</c:v>
                </c:pt>
                <c:pt idx="87">
                  <c:v>6454.453</c:v>
                </c:pt>
                <c:pt idx="88">
                  <c:v>6630.315</c:v>
                </c:pt>
                <c:pt idx="89">
                  <c:v>6740.542</c:v>
                </c:pt>
                <c:pt idx="90">
                  <c:v>6757.037</c:v>
                </c:pt>
                <c:pt idx="91">
                  <c:v>2112.233</c:v>
                </c:pt>
                <c:pt idx="92">
                  <c:v>2104.629</c:v>
                </c:pt>
                <c:pt idx="93">
                  <c:v>2113.917</c:v>
                </c:pt>
                <c:pt idx="94">
                  <c:v>2139.4</c:v>
                </c:pt>
                <c:pt idx="95">
                  <c:v>2151.437</c:v>
                </c:pt>
                <c:pt idx="96">
                  <c:v>2162.726</c:v>
                </c:pt>
                <c:pt idx="97">
                  <c:v>2174.335</c:v>
                </c:pt>
                <c:pt idx="98">
                  <c:v>2187.638</c:v>
                </c:pt>
                <c:pt idx="99">
                  <c:v>2223.551</c:v>
                </c:pt>
                <c:pt idx="100">
                  <c:v>2300.741</c:v>
                </c:pt>
                <c:pt idx="101">
                  <c:v>2328.677</c:v>
                </c:pt>
                <c:pt idx="102">
                  <c:v>2356.017</c:v>
                </c:pt>
                <c:pt idx="103">
                  <c:v>2414.052</c:v>
                </c:pt>
                <c:pt idx="104">
                  <c:v>2452.272</c:v>
                </c:pt>
                <c:pt idx="105">
                  <c:v>2503.362</c:v>
                </c:pt>
                <c:pt idx="106">
                  <c:v>486.059</c:v>
                </c:pt>
                <c:pt idx="107">
                  <c:v>458.6</c:v>
                </c:pt>
                <c:pt idx="108">
                  <c:v>518.58</c:v>
                </c:pt>
                <c:pt idx="109">
                  <c:v>583.244</c:v>
                </c:pt>
                <c:pt idx="110">
                  <c:v>605.209</c:v>
                </c:pt>
                <c:pt idx="111">
                  <c:v>619.308</c:v>
                </c:pt>
                <c:pt idx="112">
                  <c:v>633.349</c:v>
                </c:pt>
                <c:pt idx="113">
                  <c:v>651.831</c:v>
                </c:pt>
                <c:pt idx="114">
                  <c:v>669.445</c:v>
                </c:pt>
                <c:pt idx="115">
                  <c:v>716.583</c:v>
                </c:pt>
                <c:pt idx="116">
                  <c:v>751.856</c:v>
                </c:pt>
                <c:pt idx="117">
                  <c:v>759.666</c:v>
                </c:pt>
                <c:pt idx="118">
                  <c:v>767.207</c:v>
                </c:pt>
                <c:pt idx="119">
                  <c:v>827.617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Sheet1!$N$1</c:f>
              <c:strCache>
                <c:ptCount val="1"/>
                <c:pt idx="0">
                  <c:v>GP_RBF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Sheet1!$F$2:$F$121</c:f>
              <c:numCache>
                <c:formatCode>General</c:formatCode>
                <c:ptCount val="120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</c:numCache>
            </c:numRef>
          </c:xVal>
          <c:yVal>
            <c:numRef>
              <c:f>Sheet1!$N$2:$N$121</c:f>
              <c:numCache>
                <c:formatCode>General</c:formatCode>
                <c:ptCount val="120"/>
                <c:pt idx="0">
                  <c:v>2521.285</c:v>
                </c:pt>
                <c:pt idx="1">
                  <c:v>2878.83</c:v>
                </c:pt>
                <c:pt idx="2">
                  <c:v>3231.297</c:v>
                </c:pt>
                <c:pt idx="3">
                  <c:v>3573.393</c:v>
                </c:pt>
                <c:pt idx="4">
                  <c:v>3900.265</c:v>
                </c:pt>
                <c:pt idx="5">
                  <c:v>4491.902</c:v>
                </c:pt>
                <c:pt idx="6">
                  <c:v>4750.228</c:v>
                </c:pt>
                <c:pt idx="7">
                  <c:v>4980.585</c:v>
                </c:pt>
                <c:pt idx="8">
                  <c:v>5181.779</c:v>
                </c:pt>
                <c:pt idx="9">
                  <c:v>5610.529</c:v>
                </c:pt>
                <c:pt idx="10">
                  <c:v>5698.853</c:v>
                </c:pt>
                <c:pt idx="11">
                  <c:v>5763.233</c:v>
                </c:pt>
                <c:pt idx="12">
                  <c:v>5806.356</c:v>
                </c:pt>
                <c:pt idx="13">
                  <c:v>5831.178</c:v>
                </c:pt>
                <c:pt idx="14">
                  <c:v>5826.833</c:v>
                </c:pt>
                <c:pt idx="15">
                  <c:v>5809.076</c:v>
                </c:pt>
                <c:pt idx="16">
                  <c:v>835.157</c:v>
                </c:pt>
                <c:pt idx="17">
                  <c:v>915.286</c:v>
                </c:pt>
                <c:pt idx="18">
                  <c:v>1013.244</c:v>
                </c:pt>
                <c:pt idx="19">
                  <c:v>1254.963</c:v>
                </c:pt>
                <c:pt idx="20">
                  <c:v>1394.298</c:v>
                </c:pt>
                <c:pt idx="21">
                  <c:v>1856.846</c:v>
                </c:pt>
                <c:pt idx="22">
                  <c:v>2017.562</c:v>
                </c:pt>
                <c:pt idx="23">
                  <c:v>2177.579</c:v>
                </c:pt>
                <c:pt idx="24">
                  <c:v>2334.754</c:v>
                </c:pt>
                <c:pt idx="25">
                  <c:v>2487.17</c:v>
                </c:pt>
                <c:pt idx="26">
                  <c:v>2633.175</c:v>
                </c:pt>
                <c:pt idx="27">
                  <c:v>2771.405</c:v>
                </c:pt>
                <c:pt idx="28">
                  <c:v>2900.801</c:v>
                </c:pt>
                <c:pt idx="29">
                  <c:v>3229.991</c:v>
                </c:pt>
                <c:pt idx="30">
                  <c:v>3319.506</c:v>
                </c:pt>
                <c:pt idx="31">
                  <c:v>3399.284</c:v>
                </c:pt>
                <c:pt idx="32">
                  <c:v>4615.366</c:v>
                </c:pt>
                <c:pt idx="33">
                  <c:v>5350.172</c:v>
                </c:pt>
                <c:pt idx="34">
                  <c:v>6049.757</c:v>
                </c:pt>
                <c:pt idx="35">
                  <c:v>7307.687</c:v>
                </c:pt>
                <c:pt idx="36">
                  <c:v>7852.031</c:v>
                </c:pt>
                <c:pt idx="37">
                  <c:v>8333.471</c:v>
                </c:pt>
                <c:pt idx="38">
                  <c:v>9099.06</c:v>
                </c:pt>
                <c:pt idx="39">
                  <c:v>9383.402</c:v>
                </c:pt>
                <c:pt idx="40">
                  <c:v>9767.938</c:v>
                </c:pt>
                <c:pt idx="41">
                  <c:v>9939.44</c:v>
                </c:pt>
                <c:pt idx="42">
                  <c:v>9960.939</c:v>
                </c:pt>
                <c:pt idx="43">
                  <c:v>9948.974</c:v>
                </c:pt>
                <c:pt idx="44">
                  <c:v>9853.047</c:v>
                </c:pt>
                <c:pt idx="45">
                  <c:v>9782.457</c:v>
                </c:pt>
                <c:pt idx="46">
                  <c:v>9704.691</c:v>
                </c:pt>
                <c:pt idx="47">
                  <c:v>9624.656</c:v>
                </c:pt>
                <c:pt idx="48">
                  <c:v>764.091</c:v>
                </c:pt>
                <c:pt idx="49">
                  <c:v>1172.295</c:v>
                </c:pt>
                <c:pt idx="50">
                  <c:v>2485.26</c:v>
                </c:pt>
                <c:pt idx="51">
                  <c:v>2930.72</c:v>
                </c:pt>
                <c:pt idx="52">
                  <c:v>3369.292</c:v>
                </c:pt>
                <c:pt idx="53">
                  <c:v>3794.851</c:v>
                </c:pt>
                <c:pt idx="54">
                  <c:v>4201.714</c:v>
                </c:pt>
                <c:pt idx="55">
                  <c:v>5262.366</c:v>
                </c:pt>
                <c:pt idx="56">
                  <c:v>5550.353</c:v>
                </c:pt>
                <c:pt idx="57">
                  <c:v>6014.52</c:v>
                </c:pt>
                <c:pt idx="58">
                  <c:v>6325.81</c:v>
                </c:pt>
                <c:pt idx="59">
                  <c:v>6425.631</c:v>
                </c:pt>
                <c:pt idx="60">
                  <c:v>6490.418</c:v>
                </c:pt>
                <c:pt idx="61">
                  <c:v>6522.515</c:v>
                </c:pt>
                <c:pt idx="62">
                  <c:v>4925.688</c:v>
                </c:pt>
                <c:pt idx="63">
                  <c:v>5648.856</c:v>
                </c:pt>
                <c:pt idx="64">
                  <c:v>6992.351</c:v>
                </c:pt>
                <c:pt idx="65">
                  <c:v>7595.407</c:v>
                </c:pt>
                <c:pt idx="66">
                  <c:v>8143.473</c:v>
                </c:pt>
                <c:pt idx="67">
                  <c:v>8631.63</c:v>
                </c:pt>
                <c:pt idx="68">
                  <c:v>9712.954</c:v>
                </c:pt>
                <c:pt idx="69">
                  <c:v>9946.124</c:v>
                </c:pt>
                <c:pt idx="70">
                  <c:v>10119.7</c:v>
                </c:pt>
                <c:pt idx="71">
                  <c:v>10238.043</c:v>
                </c:pt>
                <c:pt idx="72">
                  <c:v>10318.382</c:v>
                </c:pt>
                <c:pt idx="73">
                  <c:v>10207.574</c:v>
                </c:pt>
                <c:pt idx="74">
                  <c:v>10025.129</c:v>
                </c:pt>
                <c:pt idx="75">
                  <c:v>9920.935</c:v>
                </c:pt>
                <c:pt idx="76">
                  <c:v>850.865</c:v>
                </c:pt>
                <c:pt idx="77">
                  <c:v>1095.338</c:v>
                </c:pt>
                <c:pt idx="78">
                  <c:v>1376.995</c:v>
                </c:pt>
                <c:pt idx="79">
                  <c:v>2035.333</c:v>
                </c:pt>
                <c:pt idx="80">
                  <c:v>2785.973</c:v>
                </c:pt>
                <c:pt idx="81">
                  <c:v>3181.119</c:v>
                </c:pt>
                <c:pt idx="82">
                  <c:v>3581.015</c:v>
                </c:pt>
                <c:pt idx="83">
                  <c:v>3979.234</c:v>
                </c:pt>
                <c:pt idx="84">
                  <c:v>4369.487</c:v>
                </c:pt>
                <c:pt idx="85">
                  <c:v>5738.574</c:v>
                </c:pt>
                <c:pt idx="86">
                  <c:v>6009.969</c:v>
                </c:pt>
                <c:pt idx="87">
                  <c:v>6446.245</c:v>
                </c:pt>
                <c:pt idx="88">
                  <c:v>6608.369</c:v>
                </c:pt>
                <c:pt idx="89">
                  <c:v>6732.73</c:v>
                </c:pt>
                <c:pt idx="90">
                  <c:v>6871.627</c:v>
                </c:pt>
                <c:pt idx="91">
                  <c:v>2061.251</c:v>
                </c:pt>
                <c:pt idx="92">
                  <c:v>2095.465</c:v>
                </c:pt>
                <c:pt idx="93">
                  <c:v>2113.5</c:v>
                </c:pt>
                <c:pt idx="94">
                  <c:v>2148.428</c:v>
                </c:pt>
                <c:pt idx="95">
                  <c:v>2164.614</c:v>
                </c:pt>
                <c:pt idx="96">
                  <c:v>2179.785</c:v>
                </c:pt>
                <c:pt idx="97">
                  <c:v>2194.052</c:v>
                </c:pt>
                <c:pt idx="98">
                  <c:v>2207.709</c:v>
                </c:pt>
                <c:pt idx="99">
                  <c:v>2235.166</c:v>
                </c:pt>
                <c:pt idx="100">
                  <c:v>2287.153</c:v>
                </c:pt>
                <c:pt idx="101">
                  <c:v>2310.574</c:v>
                </c:pt>
                <c:pt idx="102">
                  <c:v>2338.377</c:v>
                </c:pt>
                <c:pt idx="103">
                  <c:v>2409.859</c:v>
                </c:pt>
                <c:pt idx="104">
                  <c:v>2454.6</c:v>
                </c:pt>
                <c:pt idx="105">
                  <c:v>2505.796</c:v>
                </c:pt>
                <c:pt idx="106">
                  <c:v>505.925</c:v>
                </c:pt>
                <c:pt idx="107">
                  <c:v>497.837</c:v>
                </c:pt>
                <c:pt idx="108">
                  <c:v>515.563</c:v>
                </c:pt>
                <c:pt idx="109">
                  <c:v>549.66</c:v>
                </c:pt>
                <c:pt idx="110">
                  <c:v>569.751</c:v>
                </c:pt>
                <c:pt idx="111">
                  <c:v>590.494</c:v>
                </c:pt>
                <c:pt idx="112">
                  <c:v>630.851</c:v>
                </c:pt>
                <c:pt idx="113">
                  <c:v>666.683</c:v>
                </c:pt>
                <c:pt idx="114">
                  <c:v>682.636</c:v>
                </c:pt>
                <c:pt idx="115">
                  <c:v>712.068</c:v>
                </c:pt>
                <c:pt idx="116">
                  <c:v>742.447</c:v>
                </c:pt>
                <c:pt idx="117">
                  <c:v>760.148</c:v>
                </c:pt>
                <c:pt idx="118">
                  <c:v>780.866</c:v>
                </c:pt>
                <c:pt idx="119">
                  <c:v>835.561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99168"/>
        <c:axId val="135980544"/>
      </c:scatterChart>
      <c:valAx>
        <c:axId val="132599168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5980544"/>
        <c:crosses val="autoZero"/>
        <c:crossBetween val="midCat"/>
        <c:majorUnit val="2000"/>
      </c:valAx>
      <c:valAx>
        <c:axId val="135980544"/>
        <c:scaling>
          <c:orientation val="minMax"/>
          <c:max val="12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599168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1539200878759"/>
          <c:y val="0.0712909441233141"/>
          <c:w val="0.349443910476452"/>
          <c:h val="0.26107899807321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513129366417731"/>
          <c:w val="0.80742825758616"/>
          <c:h val="0.783907492170561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67424"/>
        <c:axId val="136169344"/>
      </c:scatterChart>
      <c:scatterChart>
        <c:scatterStyle val="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rgbClr val="0070C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63938976498081"/>
                  <c:y val="-0.043941808250640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Sheet2!$G$2:$G$57</c:f>
              <c:numCache>
                <c:formatCode>General</c:formatCode>
                <c:ptCount val="56"/>
                <c:pt idx="0">
                  <c:v>4240.737</c:v>
                </c:pt>
                <c:pt idx="1">
                  <c:v>5320.3032</c:v>
                </c:pt>
                <c:pt idx="2">
                  <c:v>6579.7971</c:v>
                </c:pt>
                <c:pt idx="3">
                  <c:v>-109.2435</c:v>
                </c:pt>
                <c:pt idx="4">
                  <c:v>1150.2504</c:v>
                </c:pt>
                <c:pt idx="5">
                  <c:v>2949.5274</c:v>
                </c:pt>
                <c:pt idx="6">
                  <c:v>6058.58625</c:v>
                </c:pt>
                <c:pt idx="7">
                  <c:v>7498.00785</c:v>
                </c:pt>
                <c:pt idx="8">
                  <c:v>9117.35715</c:v>
                </c:pt>
                <c:pt idx="9">
                  <c:v>2968.09965</c:v>
                </c:pt>
                <c:pt idx="10">
                  <c:v>3507.88275</c:v>
                </c:pt>
                <c:pt idx="11">
                  <c:v>4767.37665</c:v>
                </c:pt>
                <c:pt idx="12">
                  <c:v>5846.94285</c:v>
                </c:pt>
                <c:pt idx="13">
                  <c:v>6196.62105</c:v>
                </c:pt>
                <c:pt idx="14">
                  <c:v>7815.97035</c:v>
                </c:pt>
                <c:pt idx="15">
                  <c:v>8715.60885</c:v>
                </c:pt>
                <c:pt idx="16">
                  <c:v>9615.24735</c:v>
                </c:pt>
                <c:pt idx="17">
                  <c:v>3465.98985</c:v>
                </c:pt>
                <c:pt idx="18">
                  <c:v>4905.41145</c:v>
                </c:pt>
                <c:pt idx="19">
                  <c:v>5265.26685</c:v>
                </c:pt>
                <c:pt idx="20">
                  <c:v>6524.76075</c:v>
                </c:pt>
                <c:pt idx="21">
                  <c:v>1431.0262</c:v>
                </c:pt>
                <c:pt idx="22">
                  <c:v>3050.3755</c:v>
                </c:pt>
                <c:pt idx="23">
                  <c:v>4309.8694</c:v>
                </c:pt>
                <c:pt idx="24">
                  <c:v>-1839.3881</c:v>
                </c:pt>
                <c:pt idx="25">
                  <c:v>-1299.605</c:v>
                </c:pt>
                <c:pt idx="26">
                  <c:v>319.744299999999</c:v>
                </c:pt>
                <c:pt idx="27">
                  <c:v>679.599699999999</c:v>
                </c:pt>
                <c:pt idx="28">
                  <c:v>3161.1708</c:v>
                </c:pt>
                <c:pt idx="29">
                  <c:v>5140.3755</c:v>
                </c:pt>
                <c:pt idx="30">
                  <c:v>6399.8694</c:v>
                </c:pt>
                <c:pt idx="31">
                  <c:v>610.4673</c:v>
                </c:pt>
                <c:pt idx="32">
                  <c:v>1330.1781</c:v>
                </c:pt>
                <c:pt idx="33">
                  <c:v>3129.4551</c:v>
                </c:pt>
                <c:pt idx="34">
                  <c:v>6778.29705</c:v>
                </c:pt>
                <c:pt idx="35">
                  <c:v>8037.79095</c:v>
                </c:pt>
                <c:pt idx="36">
                  <c:v>8397.64635</c:v>
                </c:pt>
                <c:pt idx="37">
                  <c:v>2788.17195</c:v>
                </c:pt>
                <c:pt idx="38">
                  <c:v>3687.81045</c:v>
                </c:pt>
                <c:pt idx="39">
                  <c:v>4947.30435</c:v>
                </c:pt>
                <c:pt idx="40">
                  <c:v>5487.08745</c:v>
                </c:pt>
                <c:pt idx="41">
                  <c:v>6736.40415</c:v>
                </c:pt>
                <c:pt idx="42">
                  <c:v>7636.04265</c:v>
                </c:pt>
                <c:pt idx="43">
                  <c:v>8895.53655</c:v>
                </c:pt>
                <c:pt idx="44">
                  <c:v>9255.39195</c:v>
                </c:pt>
                <c:pt idx="45">
                  <c:v>3825.84525</c:v>
                </c:pt>
                <c:pt idx="46">
                  <c:v>5085.33915</c:v>
                </c:pt>
                <c:pt idx="47">
                  <c:v>5805.04995</c:v>
                </c:pt>
                <c:pt idx="48">
                  <c:v>1071.1708</c:v>
                </c:pt>
                <c:pt idx="49">
                  <c:v>1970.8093</c:v>
                </c:pt>
                <c:pt idx="50">
                  <c:v>3410.2309</c:v>
                </c:pt>
                <c:pt idx="51">
                  <c:v>3590.1586</c:v>
                </c:pt>
                <c:pt idx="52">
                  <c:v>-1659.4604</c:v>
                </c:pt>
                <c:pt idx="53">
                  <c:v>-579.8942</c:v>
                </c:pt>
                <c:pt idx="54">
                  <c:v>-220.038800000001</c:v>
                </c:pt>
                <c:pt idx="55">
                  <c:v>1399.3105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67424"/>
        <c:axId val="136169344"/>
      </c:scatterChart>
      <c:valAx>
        <c:axId val="136167424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169344"/>
        <c:crosses val="autoZero"/>
        <c:crossBetween val="midCat"/>
        <c:majorUnit val="2000"/>
      </c:valAx>
      <c:valAx>
        <c:axId val="136169344"/>
        <c:scaling>
          <c:orientation val="minMax"/>
          <c:max val="12000"/>
          <c:min val="-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1894094488188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167424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422628037896"/>
          <c:y val="0.0655263791857384"/>
          <c:w val="0.23287106961417"/>
          <c:h val="0.14526620091544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07454695222405"/>
          <c:h val="0.795279383429672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45952"/>
        <c:axId val="136447872"/>
      </c:scatterChart>
      <c:scatterChart>
        <c:scatterStyle val="marker"/>
        <c:varyColors val="0"/>
        <c:ser>
          <c:idx val="1"/>
          <c:order val="0"/>
          <c:tx>
            <c:strRef>
              <c:f>Sheet2!$H$1</c:f>
              <c:strCache>
                <c:ptCount val="1"/>
                <c:pt idx="0">
                  <c:v>NLR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square"/>
            <c:size val="5"/>
          </c:marker>
          <c:dLbls>
            <c:delete val="1"/>
          </c:dLbls>
          <c:trendline>
            <c:spPr>
              <a:ln w="19050" cap="rnd" cmpd="sng" algn="ctr">
                <a:solidFill>
                  <a:schemeClr val="accent2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429871786002"/>
                  <c:y val="-0.0594258635541463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Sheet2!$H$2:$H$57</c:f>
              <c:numCache>
                <c:formatCode>General</c:formatCode>
                <c:ptCount val="56"/>
                <c:pt idx="0">
                  <c:v>4055.64435075936</c:v>
                </c:pt>
                <c:pt idx="1">
                  <c:v>5106.82363476884</c:v>
                </c:pt>
                <c:pt idx="2">
                  <c:v>5995.19257411214</c:v>
                </c:pt>
                <c:pt idx="3">
                  <c:v>994.697498702288</c:v>
                </c:pt>
                <c:pt idx="4">
                  <c:v>2157.30249548605</c:v>
                </c:pt>
                <c:pt idx="5">
                  <c:v>2917.61812529833</c:v>
                </c:pt>
                <c:pt idx="6">
                  <c:v>3512.06299914296</c:v>
                </c:pt>
                <c:pt idx="7">
                  <c:v>7958.41129759069</c:v>
                </c:pt>
                <c:pt idx="8">
                  <c:v>10301.4822866826</c:v>
                </c:pt>
                <c:pt idx="9">
                  <c:v>2300.89310419864</c:v>
                </c:pt>
                <c:pt idx="10">
                  <c:v>3236.30421859054</c:v>
                </c:pt>
                <c:pt idx="11">
                  <c:v>4483.34153125726</c:v>
                </c:pt>
                <c:pt idx="12">
                  <c:v>5213.87391953717</c:v>
                </c:pt>
                <c:pt idx="13">
                  <c:v>3667.063723709</c:v>
                </c:pt>
                <c:pt idx="14">
                  <c:v>8642.07505417799</c:v>
                </c:pt>
                <c:pt idx="15">
                  <c:v>10050.2469913385</c:v>
                </c:pt>
                <c:pt idx="16">
                  <c:v>11186.426506726</c:v>
                </c:pt>
                <c:pt idx="17">
                  <c:v>3109.7533315378</c:v>
                </c:pt>
                <c:pt idx="18">
                  <c:v>4681.20847897189</c:v>
                </c:pt>
                <c:pt idx="19">
                  <c:v>4957.72284490318</c:v>
                </c:pt>
                <c:pt idx="20">
                  <c:v>5765.55269348072</c:v>
                </c:pt>
                <c:pt idx="21">
                  <c:v>1229.72300680954</c:v>
                </c:pt>
                <c:pt idx="22">
                  <c:v>2060.4115621828</c:v>
                </c:pt>
                <c:pt idx="23">
                  <c:v>2444.86386412245</c:v>
                </c:pt>
                <c:pt idx="24">
                  <c:v>622.397877803258</c:v>
                </c:pt>
                <c:pt idx="25">
                  <c:v>805.640783531776</c:v>
                </c:pt>
                <c:pt idx="26">
                  <c:v>1133.168099663</c:v>
                </c:pt>
                <c:pt idx="27">
                  <c:v>1187.22128625402</c:v>
                </c:pt>
                <c:pt idx="28">
                  <c:v>1965.30618530927</c:v>
                </c:pt>
                <c:pt idx="29">
                  <c:v>4956.88612819857</c:v>
                </c:pt>
                <c:pt idx="30">
                  <c:v>5881.79177201071</c:v>
                </c:pt>
                <c:pt idx="31">
                  <c:v>1810.99504760894</c:v>
                </c:pt>
                <c:pt idx="32">
                  <c:v>2254.00621039238</c:v>
                </c:pt>
                <c:pt idx="33">
                  <c:v>2976.94252795834</c:v>
                </c:pt>
                <c:pt idx="34">
                  <c:v>6394.23413312726</c:v>
                </c:pt>
                <c:pt idx="35">
                  <c:v>8858.10897657742</c:v>
                </c:pt>
                <c:pt idx="36">
                  <c:v>9381.34873357847</c:v>
                </c:pt>
                <c:pt idx="37">
                  <c:v>1777.55522607415</c:v>
                </c:pt>
                <c:pt idx="38">
                  <c:v>3463.60600352064</c:v>
                </c:pt>
                <c:pt idx="39">
                  <c:v>4618.95510657736</c:v>
                </c:pt>
                <c:pt idx="40">
                  <c:v>4990.18288676726</c:v>
                </c:pt>
                <c:pt idx="41">
                  <c:v>6144.19707019546</c:v>
                </c:pt>
                <c:pt idx="42">
                  <c:v>8309.64631752688</c:v>
                </c:pt>
                <c:pt idx="43">
                  <c:v>10294.6554741666</c:v>
                </c:pt>
                <c:pt idx="44">
                  <c:v>10756.1259587721</c:v>
                </c:pt>
                <c:pt idx="45">
                  <c:v>3616.46813620106</c:v>
                </c:pt>
                <c:pt idx="46">
                  <c:v>4822.80719819196</c:v>
                </c:pt>
                <c:pt idx="47">
                  <c:v>5329.3577486671</c:v>
                </c:pt>
                <c:pt idx="48">
                  <c:v>816.911965034833</c:v>
                </c:pt>
                <c:pt idx="49">
                  <c:v>1591.77118378006</c:v>
                </c:pt>
                <c:pt idx="50">
                  <c:v>2182.11804016466</c:v>
                </c:pt>
                <c:pt idx="51">
                  <c:v>2238.89401367581</c:v>
                </c:pt>
                <c:pt idx="52">
                  <c:v>692.759901720693</c:v>
                </c:pt>
                <c:pt idx="53">
                  <c:v>974.396328242241</c:v>
                </c:pt>
                <c:pt idx="54">
                  <c:v>1042.83304175221</c:v>
                </c:pt>
                <c:pt idx="55">
                  <c:v>1284.39245543827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45952"/>
        <c:axId val="136447872"/>
      </c:scatterChart>
      <c:valAx>
        <c:axId val="136445952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447872"/>
        <c:crosses val="autoZero"/>
        <c:crossBetween val="midCat"/>
        <c:majorUnit val="2000"/>
      </c:valAx>
      <c:valAx>
        <c:axId val="136447872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57660626029654"/>
              <c:y val="0.11149519063007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445952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4404173531027"/>
          <c:y val="0.0626204238921002"/>
          <c:w val="0.257688083470621"/>
          <c:h val="0.1423410404624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513005780346821"/>
          <c:w val="0.80742825758616"/>
          <c:h val="0.786849710982659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08096"/>
        <c:axId val="136710016"/>
      </c:scatterChart>
      <c:scatterChart>
        <c:scatterStyle val="marker"/>
        <c:varyColors val="0"/>
        <c:ser>
          <c:idx val="2"/>
          <c:order val="0"/>
          <c:tx>
            <c:strRef>
              <c:f>Sheet2!$I$1</c:f>
              <c:strCache>
                <c:ptCount val="1"/>
                <c:pt idx="0">
                  <c:v>M5P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triangle"/>
            <c:size val="5"/>
          </c:marker>
          <c:dLbls>
            <c:delete val="1"/>
          </c:dLbls>
          <c:trendline>
            <c:spPr>
              <a:ln w="19050" cap="rnd" cmpd="sng" algn="ctr">
                <a:solidFill>
                  <a:srgbClr val="92D05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6355868194115"/>
                  <c:y val="-0.05975161070906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Sheet2!$I$2:$I$57</c:f>
              <c:numCache>
                <c:formatCode>General</c:formatCode>
                <c:ptCount val="56"/>
                <c:pt idx="0">
                  <c:v>4083.744</c:v>
                </c:pt>
                <c:pt idx="1">
                  <c:v>5028.255</c:v>
                </c:pt>
                <c:pt idx="2">
                  <c:v>5947.359</c:v>
                </c:pt>
                <c:pt idx="3">
                  <c:v>663.655</c:v>
                </c:pt>
                <c:pt idx="4">
                  <c:v>1616.619</c:v>
                </c:pt>
                <c:pt idx="5">
                  <c:v>2977.995</c:v>
                </c:pt>
                <c:pt idx="6">
                  <c:v>5494.926</c:v>
                </c:pt>
                <c:pt idx="7">
                  <c:v>8157.115</c:v>
                </c:pt>
                <c:pt idx="8">
                  <c:v>9818.192</c:v>
                </c:pt>
                <c:pt idx="9">
                  <c:v>1457.916</c:v>
                </c:pt>
                <c:pt idx="10">
                  <c:v>2219.308</c:v>
                </c:pt>
                <c:pt idx="11">
                  <c:v>4439.768</c:v>
                </c:pt>
                <c:pt idx="12">
                  <c:v>5903.659</c:v>
                </c:pt>
                <c:pt idx="13">
                  <c:v>5578.187</c:v>
                </c:pt>
                <c:pt idx="14">
                  <c:v>8500.85</c:v>
                </c:pt>
                <c:pt idx="15">
                  <c:v>9485.595</c:v>
                </c:pt>
                <c:pt idx="16">
                  <c:v>10340.006</c:v>
                </c:pt>
                <c:pt idx="17">
                  <c:v>2217.677</c:v>
                </c:pt>
                <c:pt idx="18">
                  <c:v>4678.681</c:v>
                </c:pt>
                <c:pt idx="19">
                  <c:v>5166.645</c:v>
                </c:pt>
                <c:pt idx="20">
                  <c:v>6874.518</c:v>
                </c:pt>
                <c:pt idx="21">
                  <c:v>1946.354</c:v>
                </c:pt>
                <c:pt idx="22">
                  <c:v>2474.69</c:v>
                </c:pt>
                <c:pt idx="23">
                  <c:v>2885.618</c:v>
                </c:pt>
                <c:pt idx="24">
                  <c:v>-130.933</c:v>
                </c:pt>
                <c:pt idx="25">
                  <c:v>45.179</c:v>
                </c:pt>
                <c:pt idx="26">
                  <c:v>573.515</c:v>
                </c:pt>
                <c:pt idx="27">
                  <c:v>690.923</c:v>
                </c:pt>
                <c:pt idx="28">
                  <c:v>3191.964</c:v>
                </c:pt>
                <c:pt idx="29">
                  <c:v>4896.954</c:v>
                </c:pt>
                <c:pt idx="30">
                  <c:v>5816.059</c:v>
                </c:pt>
                <c:pt idx="31">
                  <c:v>1208.206</c:v>
                </c:pt>
                <c:pt idx="32">
                  <c:v>1752.756</c:v>
                </c:pt>
                <c:pt idx="33">
                  <c:v>3114.133</c:v>
                </c:pt>
                <c:pt idx="34">
                  <c:v>6832.227</c:v>
                </c:pt>
                <c:pt idx="35">
                  <c:v>8792.898</c:v>
                </c:pt>
                <c:pt idx="36">
                  <c:v>9134.663</c:v>
                </c:pt>
                <c:pt idx="37">
                  <c:v>1204.119</c:v>
                </c:pt>
                <c:pt idx="38">
                  <c:v>2473.105</c:v>
                </c:pt>
                <c:pt idx="39">
                  <c:v>4683.749</c:v>
                </c:pt>
                <c:pt idx="40">
                  <c:v>5415.695</c:v>
                </c:pt>
                <c:pt idx="41">
                  <c:v>6581.162</c:v>
                </c:pt>
                <c:pt idx="42">
                  <c:v>8323.474</c:v>
                </c:pt>
                <c:pt idx="43">
                  <c:v>9656.477</c:v>
                </c:pt>
                <c:pt idx="44">
                  <c:v>9998.242</c:v>
                </c:pt>
                <c:pt idx="45">
                  <c:v>2725.272</c:v>
                </c:pt>
                <c:pt idx="46">
                  <c:v>4922.663</c:v>
                </c:pt>
                <c:pt idx="47">
                  <c:v>5898.59</c:v>
                </c:pt>
                <c:pt idx="48">
                  <c:v>1828.946</c:v>
                </c:pt>
                <c:pt idx="49">
                  <c:v>2122.466</c:v>
                </c:pt>
                <c:pt idx="50">
                  <c:v>2592.098</c:v>
                </c:pt>
                <c:pt idx="51">
                  <c:v>2650.802</c:v>
                </c:pt>
                <c:pt idx="52">
                  <c:v>-72.229</c:v>
                </c:pt>
                <c:pt idx="53">
                  <c:v>279.995</c:v>
                </c:pt>
                <c:pt idx="54">
                  <c:v>397.403</c:v>
                </c:pt>
                <c:pt idx="55">
                  <c:v>925.739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08096"/>
        <c:axId val="136710016"/>
      </c:scatterChart>
      <c:valAx>
        <c:axId val="13670809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710016"/>
        <c:crosses val="autoZero"/>
        <c:crossBetween val="midCat"/>
        <c:majorUnit val="2000"/>
      </c:valAx>
      <c:valAx>
        <c:axId val="13671001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918165591103"/>
              <c:y val="0.09415415016764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6708096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70300700261"/>
          <c:y val="0.0626204238921002"/>
          <c:w val="0.234518742276534"/>
          <c:h val="0.14836223506743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455202312138728"/>
          <c:w val="0.807454695222405"/>
          <c:h val="0.783959537572254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5728"/>
        <c:axId val="138827648"/>
      </c:scatterChart>
      <c:scatterChart>
        <c:scatterStyle val="marker"/>
        <c:varyColors val="0"/>
        <c:ser>
          <c:idx val="3"/>
          <c:order val="0"/>
          <c:tx>
            <c:strRef>
              <c:f>Sheet2!$J$1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rgbClr val="7030A0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1905344255775"/>
                  <c:y val="-0.0470802779589931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Sheet2!$J$2:$J$57</c:f>
              <c:numCache>
                <c:formatCode>General</c:formatCode>
                <c:ptCount val="56"/>
                <c:pt idx="0">
                  <c:v>4198.843</c:v>
                </c:pt>
                <c:pt idx="1">
                  <c:v>5541.423</c:v>
                </c:pt>
                <c:pt idx="2">
                  <c:v>5482.86</c:v>
                </c:pt>
                <c:pt idx="3">
                  <c:v>995.224</c:v>
                </c:pt>
                <c:pt idx="4">
                  <c:v>1694.618</c:v>
                </c:pt>
                <c:pt idx="5">
                  <c:v>3082.936</c:v>
                </c:pt>
                <c:pt idx="6">
                  <c:v>4478.333</c:v>
                </c:pt>
                <c:pt idx="7">
                  <c:v>8404.95</c:v>
                </c:pt>
                <c:pt idx="8">
                  <c:v>9682.471</c:v>
                </c:pt>
                <c:pt idx="9">
                  <c:v>1242.233</c:v>
                </c:pt>
                <c:pt idx="10">
                  <c:v>1550.135</c:v>
                </c:pt>
                <c:pt idx="11">
                  <c:v>4881.984</c:v>
                </c:pt>
                <c:pt idx="12">
                  <c:v>6357.364</c:v>
                </c:pt>
                <c:pt idx="13">
                  <c:v>4591.635</c:v>
                </c:pt>
                <c:pt idx="14">
                  <c:v>9286.392</c:v>
                </c:pt>
                <c:pt idx="15">
                  <c:v>9754.347</c:v>
                </c:pt>
                <c:pt idx="16">
                  <c:v>10066.605</c:v>
                </c:pt>
                <c:pt idx="17">
                  <c:v>1480.584</c:v>
                </c:pt>
                <c:pt idx="18">
                  <c:v>5131.119</c:v>
                </c:pt>
                <c:pt idx="19">
                  <c:v>5832.738</c:v>
                </c:pt>
                <c:pt idx="20">
                  <c:v>6750.165</c:v>
                </c:pt>
                <c:pt idx="21">
                  <c:v>2220.681</c:v>
                </c:pt>
                <c:pt idx="22">
                  <c:v>2203.811</c:v>
                </c:pt>
                <c:pt idx="23">
                  <c:v>2323.622</c:v>
                </c:pt>
                <c:pt idx="24">
                  <c:v>631.05</c:v>
                </c:pt>
                <c:pt idx="25">
                  <c:v>633.329</c:v>
                </c:pt>
                <c:pt idx="26">
                  <c:v>901.384</c:v>
                </c:pt>
                <c:pt idx="27">
                  <c:v>902.417</c:v>
                </c:pt>
                <c:pt idx="28">
                  <c:v>2626.346</c:v>
                </c:pt>
                <c:pt idx="29">
                  <c:v>5420.134</c:v>
                </c:pt>
                <c:pt idx="30">
                  <c:v>5511.182</c:v>
                </c:pt>
                <c:pt idx="31">
                  <c:v>1174.556</c:v>
                </c:pt>
                <c:pt idx="32">
                  <c:v>2235.621</c:v>
                </c:pt>
                <c:pt idx="33">
                  <c:v>3119.552</c:v>
                </c:pt>
                <c:pt idx="34">
                  <c:v>6546.963</c:v>
                </c:pt>
                <c:pt idx="35">
                  <c:v>9451.765</c:v>
                </c:pt>
                <c:pt idx="36">
                  <c:v>9417.021</c:v>
                </c:pt>
                <c:pt idx="37">
                  <c:v>1246.655</c:v>
                </c:pt>
                <c:pt idx="38">
                  <c:v>2506.941</c:v>
                </c:pt>
                <c:pt idx="39">
                  <c:v>5387.23</c:v>
                </c:pt>
                <c:pt idx="40">
                  <c:v>5877.35</c:v>
                </c:pt>
                <c:pt idx="41">
                  <c:v>6246.954</c:v>
                </c:pt>
                <c:pt idx="42">
                  <c:v>8710.879</c:v>
                </c:pt>
                <c:pt idx="43">
                  <c:v>9751.109</c:v>
                </c:pt>
                <c:pt idx="44">
                  <c:v>9932.25</c:v>
                </c:pt>
                <c:pt idx="45">
                  <c:v>2643.385</c:v>
                </c:pt>
                <c:pt idx="46">
                  <c:v>5660.438</c:v>
                </c:pt>
                <c:pt idx="47">
                  <c:v>6684.256</c:v>
                </c:pt>
                <c:pt idx="48">
                  <c:v>1924.718</c:v>
                </c:pt>
                <c:pt idx="49">
                  <c:v>2159.69</c:v>
                </c:pt>
                <c:pt idx="50">
                  <c:v>2486.316</c:v>
                </c:pt>
                <c:pt idx="51">
                  <c:v>2625.346</c:v>
                </c:pt>
                <c:pt idx="52">
                  <c:v>645.12</c:v>
                </c:pt>
                <c:pt idx="53">
                  <c:v>909.234</c:v>
                </c:pt>
                <c:pt idx="54">
                  <c:v>726.321</c:v>
                </c:pt>
                <c:pt idx="55">
                  <c:v>1160.29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5728"/>
        <c:axId val="138827648"/>
      </c:scatterChart>
      <c:valAx>
        <c:axId val="138825728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827648"/>
        <c:crosses val="autoZero"/>
        <c:crossBetween val="midCat"/>
        <c:majorUnit val="2000"/>
      </c:valAx>
      <c:valAx>
        <c:axId val="138827648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861614497529"/>
              <c:y val="0.05080154901157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825728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51619989017"/>
          <c:y val="0.0626204238921002"/>
          <c:w val="0.218149368478858"/>
          <c:h val="0.14836223506743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363680154142582"/>
          <c:w val="0.80742825758616"/>
          <c:h val="0.810452793834297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58496"/>
        <c:axId val="138860416"/>
      </c:scatterChart>
      <c:scatterChart>
        <c:scatterStyle val="marker"/>
        <c:varyColors val="0"/>
        <c:ser>
          <c:idx val="4"/>
          <c:order val="0"/>
          <c:tx>
            <c:strRef>
              <c:f>Sheet2!$K$1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chemeClr val="accent5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7675913352551"/>
                  <c:y val="-0.029681362385096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Sheet2!$K$2:$K$57</c:f>
              <c:numCache>
                <c:formatCode>General</c:formatCode>
                <c:ptCount val="56"/>
                <c:pt idx="0">
                  <c:v>4858</c:v>
                </c:pt>
                <c:pt idx="1">
                  <c:v>5510</c:v>
                </c:pt>
                <c:pt idx="2">
                  <c:v>5770.4</c:v>
                </c:pt>
                <c:pt idx="3">
                  <c:v>995.25</c:v>
                </c:pt>
                <c:pt idx="4">
                  <c:v>1220</c:v>
                </c:pt>
                <c:pt idx="5">
                  <c:v>3286.75</c:v>
                </c:pt>
                <c:pt idx="6">
                  <c:v>4205</c:v>
                </c:pt>
                <c:pt idx="7">
                  <c:v>8808.333</c:v>
                </c:pt>
                <c:pt idx="8">
                  <c:v>9849.5</c:v>
                </c:pt>
                <c:pt idx="9">
                  <c:v>1007.5</c:v>
                </c:pt>
                <c:pt idx="10">
                  <c:v>1007.5</c:v>
                </c:pt>
                <c:pt idx="11">
                  <c:v>4348</c:v>
                </c:pt>
                <c:pt idx="12">
                  <c:v>6379.8</c:v>
                </c:pt>
                <c:pt idx="13">
                  <c:v>4505</c:v>
                </c:pt>
                <c:pt idx="14">
                  <c:v>9902</c:v>
                </c:pt>
                <c:pt idx="15">
                  <c:v>9902</c:v>
                </c:pt>
                <c:pt idx="16">
                  <c:v>10150.667</c:v>
                </c:pt>
                <c:pt idx="17">
                  <c:v>1475</c:v>
                </c:pt>
                <c:pt idx="18">
                  <c:v>4648</c:v>
                </c:pt>
                <c:pt idx="19">
                  <c:v>5621</c:v>
                </c:pt>
                <c:pt idx="20">
                  <c:v>6675.5</c:v>
                </c:pt>
                <c:pt idx="21">
                  <c:v>2150.556</c:v>
                </c:pt>
                <c:pt idx="22">
                  <c:v>2150.556</c:v>
                </c:pt>
                <c:pt idx="23">
                  <c:v>2389.833</c:v>
                </c:pt>
                <c:pt idx="24">
                  <c:v>576.333</c:v>
                </c:pt>
                <c:pt idx="25">
                  <c:v>576.333</c:v>
                </c:pt>
                <c:pt idx="26">
                  <c:v>760.6</c:v>
                </c:pt>
                <c:pt idx="27">
                  <c:v>760.6</c:v>
                </c:pt>
                <c:pt idx="28">
                  <c:v>2405</c:v>
                </c:pt>
                <c:pt idx="29">
                  <c:v>5510</c:v>
                </c:pt>
                <c:pt idx="30">
                  <c:v>5770.4</c:v>
                </c:pt>
                <c:pt idx="31">
                  <c:v>995.25</c:v>
                </c:pt>
                <c:pt idx="32">
                  <c:v>2235.333</c:v>
                </c:pt>
                <c:pt idx="33">
                  <c:v>3286.75</c:v>
                </c:pt>
                <c:pt idx="34">
                  <c:v>7422</c:v>
                </c:pt>
                <c:pt idx="35">
                  <c:v>9631</c:v>
                </c:pt>
                <c:pt idx="36">
                  <c:v>9631</c:v>
                </c:pt>
                <c:pt idx="37">
                  <c:v>1007.5</c:v>
                </c:pt>
                <c:pt idx="38">
                  <c:v>2220</c:v>
                </c:pt>
                <c:pt idx="39">
                  <c:v>5315.5</c:v>
                </c:pt>
                <c:pt idx="40">
                  <c:v>6379.8</c:v>
                </c:pt>
                <c:pt idx="41">
                  <c:v>6602</c:v>
                </c:pt>
                <c:pt idx="42">
                  <c:v>9074</c:v>
                </c:pt>
                <c:pt idx="43">
                  <c:v>9902</c:v>
                </c:pt>
                <c:pt idx="44">
                  <c:v>10150.667</c:v>
                </c:pt>
                <c:pt idx="45">
                  <c:v>2520</c:v>
                </c:pt>
                <c:pt idx="46">
                  <c:v>5621</c:v>
                </c:pt>
                <c:pt idx="47">
                  <c:v>6675.5</c:v>
                </c:pt>
                <c:pt idx="48">
                  <c:v>2150.556</c:v>
                </c:pt>
                <c:pt idx="49">
                  <c:v>2150.556</c:v>
                </c:pt>
                <c:pt idx="50">
                  <c:v>5658.5</c:v>
                </c:pt>
                <c:pt idx="51">
                  <c:v>5658.5</c:v>
                </c:pt>
                <c:pt idx="52">
                  <c:v>576.333</c:v>
                </c:pt>
                <c:pt idx="53">
                  <c:v>576.333</c:v>
                </c:pt>
                <c:pt idx="54">
                  <c:v>576.333</c:v>
                </c:pt>
                <c:pt idx="55">
                  <c:v>760.6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58496"/>
        <c:axId val="138860416"/>
      </c:scatterChart>
      <c:valAx>
        <c:axId val="13885849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860416"/>
        <c:crosses val="autoZero"/>
        <c:crossBetween val="midCat"/>
        <c:majorUnit val="2000"/>
      </c:valAx>
      <c:valAx>
        <c:axId val="13886041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918165591103"/>
              <c:y val="0.0681425894740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858496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70300700261"/>
          <c:y val="0.0539499036608863"/>
          <c:w val="0.221337360977619"/>
          <c:h val="0.15125240847784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07454695222405"/>
          <c:h val="0.783959537572254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99456"/>
        <c:axId val="138901376"/>
      </c:scatterChart>
      <c:scatterChart>
        <c:scatterStyle val="marker"/>
        <c:varyColors val="0"/>
        <c:ser>
          <c:idx val="5"/>
          <c:order val="0"/>
          <c:tx>
            <c:strRef>
              <c:f>Sheet2!$L$1</c:f>
              <c:strCache>
                <c:ptCount val="1"/>
                <c:pt idx="0">
                  <c:v>REP Tree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chemeClr val="accent6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2170766185116"/>
                  <c:y val="-0.037586641987670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Sheet2!$L$2:$L$57</c:f>
              <c:numCache>
                <c:formatCode>General</c:formatCode>
                <c:ptCount val="56"/>
                <c:pt idx="0">
                  <c:v>3118</c:v>
                </c:pt>
                <c:pt idx="1">
                  <c:v>5477.545</c:v>
                </c:pt>
                <c:pt idx="2">
                  <c:v>5477.545</c:v>
                </c:pt>
                <c:pt idx="3">
                  <c:v>1040.2</c:v>
                </c:pt>
                <c:pt idx="4">
                  <c:v>1040.2</c:v>
                </c:pt>
                <c:pt idx="5">
                  <c:v>3040.667</c:v>
                </c:pt>
                <c:pt idx="6">
                  <c:v>5040.2</c:v>
                </c:pt>
                <c:pt idx="7">
                  <c:v>8914.6</c:v>
                </c:pt>
                <c:pt idx="8">
                  <c:v>9853.824</c:v>
                </c:pt>
                <c:pt idx="9">
                  <c:v>1206.833</c:v>
                </c:pt>
                <c:pt idx="10">
                  <c:v>1206.833</c:v>
                </c:pt>
                <c:pt idx="11">
                  <c:v>4498</c:v>
                </c:pt>
                <c:pt idx="12">
                  <c:v>6456.8</c:v>
                </c:pt>
                <c:pt idx="13">
                  <c:v>5040.2</c:v>
                </c:pt>
                <c:pt idx="14">
                  <c:v>8914.6</c:v>
                </c:pt>
                <c:pt idx="15">
                  <c:v>9853.824</c:v>
                </c:pt>
                <c:pt idx="16">
                  <c:v>9853.824</c:v>
                </c:pt>
                <c:pt idx="17">
                  <c:v>1206.833</c:v>
                </c:pt>
                <c:pt idx="18">
                  <c:v>4498</c:v>
                </c:pt>
                <c:pt idx="19">
                  <c:v>5417.333</c:v>
                </c:pt>
                <c:pt idx="20">
                  <c:v>6456.8</c:v>
                </c:pt>
                <c:pt idx="21">
                  <c:v>2141.5</c:v>
                </c:pt>
                <c:pt idx="22">
                  <c:v>2366</c:v>
                </c:pt>
                <c:pt idx="23">
                  <c:v>2366</c:v>
                </c:pt>
                <c:pt idx="24">
                  <c:v>540.333</c:v>
                </c:pt>
                <c:pt idx="25">
                  <c:v>540.333</c:v>
                </c:pt>
                <c:pt idx="26">
                  <c:v>718.5</c:v>
                </c:pt>
                <c:pt idx="27">
                  <c:v>718.5</c:v>
                </c:pt>
                <c:pt idx="28">
                  <c:v>3118</c:v>
                </c:pt>
                <c:pt idx="29">
                  <c:v>5477.545</c:v>
                </c:pt>
                <c:pt idx="30">
                  <c:v>5477.545</c:v>
                </c:pt>
                <c:pt idx="31">
                  <c:v>1040.2</c:v>
                </c:pt>
                <c:pt idx="32">
                  <c:v>2218.2</c:v>
                </c:pt>
                <c:pt idx="33">
                  <c:v>3040.667</c:v>
                </c:pt>
                <c:pt idx="34">
                  <c:v>7248.667</c:v>
                </c:pt>
                <c:pt idx="35">
                  <c:v>9853.824</c:v>
                </c:pt>
                <c:pt idx="36">
                  <c:v>9853.824</c:v>
                </c:pt>
                <c:pt idx="37">
                  <c:v>1206.833</c:v>
                </c:pt>
                <c:pt idx="38">
                  <c:v>2814.5</c:v>
                </c:pt>
                <c:pt idx="39">
                  <c:v>5417.333</c:v>
                </c:pt>
                <c:pt idx="40">
                  <c:v>6456.8</c:v>
                </c:pt>
                <c:pt idx="41">
                  <c:v>5040.2</c:v>
                </c:pt>
                <c:pt idx="42">
                  <c:v>8914.6</c:v>
                </c:pt>
                <c:pt idx="43">
                  <c:v>9853.824</c:v>
                </c:pt>
                <c:pt idx="44">
                  <c:v>9853.824</c:v>
                </c:pt>
                <c:pt idx="45">
                  <c:v>2814.5</c:v>
                </c:pt>
                <c:pt idx="46">
                  <c:v>5417.333</c:v>
                </c:pt>
                <c:pt idx="47">
                  <c:v>6456.8</c:v>
                </c:pt>
                <c:pt idx="48">
                  <c:v>2141.5</c:v>
                </c:pt>
                <c:pt idx="49">
                  <c:v>2141.5</c:v>
                </c:pt>
                <c:pt idx="50">
                  <c:v>2366</c:v>
                </c:pt>
                <c:pt idx="51">
                  <c:v>2366</c:v>
                </c:pt>
                <c:pt idx="52">
                  <c:v>540.333</c:v>
                </c:pt>
                <c:pt idx="53">
                  <c:v>718.5</c:v>
                </c:pt>
                <c:pt idx="54">
                  <c:v>718.5</c:v>
                </c:pt>
                <c:pt idx="55">
                  <c:v>718.5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99456"/>
        <c:axId val="138901376"/>
      </c:scatterChart>
      <c:valAx>
        <c:axId val="13889945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901376"/>
        <c:crosses val="autoZero"/>
        <c:crossBetween val="midCat"/>
        <c:majorUnit val="2000"/>
      </c:valAx>
      <c:valAx>
        <c:axId val="13890137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861614497529"/>
              <c:y val="0.08259345652602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899456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2756727073037"/>
          <c:y val="0.0712909441233141"/>
          <c:w val="0.265925315760571"/>
          <c:h val="0.15414258188824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513005780346821"/>
          <c:w val="0.80742825758616"/>
          <c:h val="0.77528901734104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30528"/>
        <c:axId val="139032448"/>
      </c:scatterChart>
      <c:scatterChart>
        <c:scatterStyle val="marker"/>
        <c:varyColors val="0"/>
        <c:ser>
          <c:idx val="6"/>
          <c:order val="0"/>
          <c:tx>
            <c:strRef>
              <c:f>Sheet2!$M$1</c:f>
              <c:strCache>
                <c:ptCount val="1"/>
                <c:pt idx="0">
                  <c:v>GP_PUK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chemeClr val="accent1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0388150373316"/>
                  <c:y val="-0.034244313210848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Sheet2!$M$2:$M$57</c:f>
              <c:numCache>
                <c:formatCode>General</c:formatCode>
                <c:ptCount val="56"/>
                <c:pt idx="0">
                  <c:v>4116.903</c:v>
                </c:pt>
                <c:pt idx="1">
                  <c:v>5605.271</c:v>
                </c:pt>
                <c:pt idx="2">
                  <c:v>5817.523</c:v>
                </c:pt>
                <c:pt idx="3">
                  <c:v>1076.169</c:v>
                </c:pt>
                <c:pt idx="4">
                  <c:v>1567.063</c:v>
                </c:pt>
                <c:pt idx="5">
                  <c:v>3147.444</c:v>
                </c:pt>
                <c:pt idx="6">
                  <c:v>3650.419</c:v>
                </c:pt>
                <c:pt idx="7">
                  <c:v>9068.397</c:v>
                </c:pt>
                <c:pt idx="8">
                  <c:v>9786.966</c:v>
                </c:pt>
                <c:pt idx="9">
                  <c:v>935.723</c:v>
                </c:pt>
                <c:pt idx="10">
                  <c:v>1332.426</c:v>
                </c:pt>
                <c:pt idx="11">
                  <c:v>4760.77</c:v>
                </c:pt>
                <c:pt idx="12">
                  <c:v>6225.816</c:v>
                </c:pt>
                <c:pt idx="13">
                  <c:v>4078.861</c:v>
                </c:pt>
                <c:pt idx="14">
                  <c:v>9790.853</c:v>
                </c:pt>
                <c:pt idx="15">
                  <c:v>9908.005</c:v>
                </c:pt>
                <c:pt idx="16">
                  <c:v>10171.906</c:v>
                </c:pt>
                <c:pt idx="17">
                  <c:v>1335.567</c:v>
                </c:pt>
                <c:pt idx="18">
                  <c:v>5058.15</c:v>
                </c:pt>
                <c:pt idx="19">
                  <c:v>5555.89</c:v>
                </c:pt>
                <c:pt idx="20">
                  <c:v>6779.913</c:v>
                </c:pt>
                <c:pt idx="21">
                  <c:v>2102.651</c:v>
                </c:pt>
                <c:pt idx="22">
                  <c:v>2203.819</c:v>
                </c:pt>
                <c:pt idx="23">
                  <c:v>2383.52</c:v>
                </c:pt>
                <c:pt idx="24">
                  <c:v>461.406</c:v>
                </c:pt>
                <c:pt idx="25">
                  <c:v>553.415</c:v>
                </c:pt>
                <c:pt idx="26">
                  <c:v>692.225</c:v>
                </c:pt>
                <c:pt idx="27">
                  <c:v>737.655</c:v>
                </c:pt>
                <c:pt idx="28">
                  <c:v>2474.972</c:v>
                </c:pt>
                <c:pt idx="29">
                  <c:v>5514.553</c:v>
                </c:pt>
                <c:pt idx="30">
                  <c:v>5782.156</c:v>
                </c:pt>
                <c:pt idx="31">
                  <c:v>996.451</c:v>
                </c:pt>
                <c:pt idx="32">
                  <c:v>1797.316</c:v>
                </c:pt>
                <c:pt idx="33">
                  <c:v>3273.015</c:v>
                </c:pt>
                <c:pt idx="34">
                  <c:v>6813.335</c:v>
                </c:pt>
                <c:pt idx="35">
                  <c:v>9456.761</c:v>
                </c:pt>
                <c:pt idx="36">
                  <c:v>9588.878</c:v>
                </c:pt>
                <c:pt idx="37">
                  <c:v>997.154</c:v>
                </c:pt>
                <c:pt idx="38">
                  <c:v>1713.611</c:v>
                </c:pt>
                <c:pt idx="39">
                  <c:v>5059.269</c:v>
                </c:pt>
                <c:pt idx="40">
                  <c:v>5804.54</c:v>
                </c:pt>
                <c:pt idx="41">
                  <c:v>6095.658</c:v>
                </c:pt>
                <c:pt idx="42">
                  <c:v>9562.24</c:v>
                </c:pt>
                <c:pt idx="43">
                  <c:v>9950.597</c:v>
                </c:pt>
                <c:pt idx="44">
                  <c:v>10077.82</c:v>
                </c:pt>
                <c:pt idx="45">
                  <c:v>1947.731</c:v>
                </c:pt>
                <c:pt idx="46">
                  <c:v>5332.387</c:v>
                </c:pt>
                <c:pt idx="47">
                  <c:v>6233.653</c:v>
                </c:pt>
                <c:pt idx="48">
                  <c:v>2136.65</c:v>
                </c:pt>
                <c:pt idx="49">
                  <c:v>2126.465</c:v>
                </c:pt>
                <c:pt idx="50">
                  <c:v>2246.841</c:v>
                </c:pt>
                <c:pt idx="51">
                  <c:v>2272.993</c:v>
                </c:pt>
                <c:pt idx="52">
                  <c:v>484.892</c:v>
                </c:pt>
                <c:pt idx="53">
                  <c:v>627.59</c:v>
                </c:pt>
                <c:pt idx="54">
                  <c:v>640.341</c:v>
                </c:pt>
                <c:pt idx="55">
                  <c:v>785.535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30528"/>
        <c:axId val="139032448"/>
      </c:scatterChart>
      <c:valAx>
        <c:axId val="139030528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32448"/>
        <c:crosses val="autoZero"/>
        <c:crossBetween val="midCat"/>
        <c:majorUnit val="2000"/>
      </c:valAx>
      <c:valAx>
        <c:axId val="139032448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918165591103"/>
              <c:y val="0.071032762884408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30528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70300700261"/>
          <c:y val="0.0539499036608863"/>
          <c:w val="0.255938486887272"/>
          <c:h val="0.16281310211946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513005780346821"/>
          <c:w val="0.807454695222405"/>
          <c:h val="0.786849710982659"/>
        </c:manualLayout>
      </c:layout>
      <c:scatterChart>
        <c:scatterStyle val="smooth"/>
        <c:varyColors val="0"/>
        <c:ser>
          <c:idx val="8"/>
          <c:order val="1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88256"/>
        <c:axId val="139090176"/>
      </c:scatterChart>
      <c:scatterChart>
        <c:scatterStyle val="marker"/>
        <c:varyColors val="0"/>
        <c:ser>
          <c:idx val="7"/>
          <c:order val="0"/>
          <c:tx>
            <c:strRef>
              <c:f>Sheet2!$N$1</c:f>
              <c:strCache>
                <c:ptCount val="1"/>
                <c:pt idx="0">
                  <c:v>GP_RBF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spPr>
              <a:ln w="19050" cap="rnd" cmpd="sng" algn="ctr">
                <a:solidFill>
                  <a:schemeClr val="accent2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-0.151623630911458"/>
                  <c:y val="-0.031414374925196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Sheet2!$N$2:$N$57</c:f>
              <c:numCache>
                <c:formatCode>General</c:formatCode>
                <c:ptCount val="56"/>
                <c:pt idx="0">
                  <c:v>4207.634</c:v>
                </c:pt>
                <c:pt idx="1">
                  <c:v>5495.978</c:v>
                </c:pt>
                <c:pt idx="2">
                  <c:v>5838.348</c:v>
                </c:pt>
                <c:pt idx="3">
                  <c:v>774.405</c:v>
                </c:pt>
                <c:pt idx="4">
                  <c:v>1542.733</c:v>
                </c:pt>
                <c:pt idx="5">
                  <c:v>3020.613</c:v>
                </c:pt>
                <c:pt idx="6">
                  <c:v>3855.779</c:v>
                </c:pt>
                <c:pt idx="7">
                  <c:v>8749.407</c:v>
                </c:pt>
                <c:pt idx="8">
                  <c:v>9910.702</c:v>
                </c:pt>
                <c:pt idx="9">
                  <c:v>380.91</c:v>
                </c:pt>
                <c:pt idx="10">
                  <c:v>1599.495</c:v>
                </c:pt>
                <c:pt idx="11">
                  <c:v>4584.76</c:v>
                </c:pt>
                <c:pt idx="12">
                  <c:v>6189.157</c:v>
                </c:pt>
                <c:pt idx="13">
                  <c:v>4181.627</c:v>
                </c:pt>
                <c:pt idx="14">
                  <c:v>9417.042</c:v>
                </c:pt>
                <c:pt idx="15">
                  <c:v>10306.492</c:v>
                </c:pt>
                <c:pt idx="16">
                  <c:v>10122.364</c:v>
                </c:pt>
                <c:pt idx="17">
                  <c:v>1691.892</c:v>
                </c:pt>
                <c:pt idx="18">
                  <c:v>4745.788</c:v>
                </c:pt>
                <c:pt idx="19">
                  <c:v>5434.95</c:v>
                </c:pt>
                <c:pt idx="20">
                  <c:v>6820.012</c:v>
                </c:pt>
                <c:pt idx="21">
                  <c:v>2077.801</c:v>
                </c:pt>
                <c:pt idx="22">
                  <c:v>2221.214</c:v>
                </c:pt>
                <c:pt idx="23">
                  <c:v>2371.272</c:v>
                </c:pt>
                <c:pt idx="24">
                  <c:v>497.585</c:v>
                </c:pt>
                <c:pt idx="25">
                  <c:v>531.219</c:v>
                </c:pt>
                <c:pt idx="26">
                  <c:v>697.596</c:v>
                </c:pt>
                <c:pt idx="27">
                  <c:v>726.738</c:v>
                </c:pt>
                <c:pt idx="28">
                  <c:v>2164.256</c:v>
                </c:pt>
                <c:pt idx="29">
                  <c:v>5353.439</c:v>
                </c:pt>
                <c:pt idx="30">
                  <c:v>5840.803</c:v>
                </c:pt>
                <c:pt idx="31">
                  <c:v>1127.175</c:v>
                </c:pt>
                <c:pt idx="32">
                  <c:v>1697.753</c:v>
                </c:pt>
                <c:pt idx="33">
                  <c:v>3130.395</c:v>
                </c:pt>
                <c:pt idx="34">
                  <c:v>6704.867</c:v>
                </c:pt>
                <c:pt idx="35">
                  <c:v>9605.022</c:v>
                </c:pt>
                <c:pt idx="36">
                  <c:v>9877.365</c:v>
                </c:pt>
                <c:pt idx="37">
                  <c:v>28.291</c:v>
                </c:pt>
                <c:pt idx="38">
                  <c:v>2039.331</c:v>
                </c:pt>
                <c:pt idx="39">
                  <c:v>4939.542</c:v>
                </c:pt>
                <c:pt idx="40">
                  <c:v>5801.466</c:v>
                </c:pt>
                <c:pt idx="41">
                  <c:v>6340.834</c:v>
                </c:pt>
                <c:pt idx="42">
                  <c:v>9056.656</c:v>
                </c:pt>
                <c:pt idx="43">
                  <c:v>10331.104</c:v>
                </c:pt>
                <c:pt idx="44">
                  <c:v>10275.006</c:v>
                </c:pt>
                <c:pt idx="45">
                  <c:v>2401.976</c:v>
                </c:pt>
                <c:pt idx="46">
                  <c:v>5102.596</c:v>
                </c:pt>
                <c:pt idx="47">
                  <c:v>6246.463</c:v>
                </c:pt>
                <c:pt idx="48">
                  <c:v>2046.663</c:v>
                </c:pt>
                <c:pt idx="49">
                  <c:v>2131.302</c:v>
                </c:pt>
                <c:pt idx="50">
                  <c:v>2250.275</c:v>
                </c:pt>
                <c:pt idx="51">
                  <c:v>2267.329</c:v>
                </c:pt>
                <c:pt idx="52">
                  <c:v>503.924</c:v>
                </c:pt>
                <c:pt idx="53">
                  <c:v>611.068</c:v>
                </c:pt>
                <c:pt idx="54">
                  <c:v>649.445</c:v>
                </c:pt>
                <c:pt idx="55">
                  <c:v>805.657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88256"/>
        <c:axId val="139090176"/>
      </c:scatterChart>
      <c:valAx>
        <c:axId val="139088256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90176"/>
        <c:crosses val="autoZero"/>
        <c:crossBetween val="midCat"/>
        <c:majorUnit val="2000"/>
      </c:valAx>
      <c:valAx>
        <c:axId val="139090176"/>
        <c:scaling>
          <c:orientation val="minMax"/>
          <c:max val="12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861614497529"/>
              <c:y val="0.07982370700772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88256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51619989017"/>
          <c:y val="0.0539499036608863"/>
          <c:w val="0.267572762218561"/>
          <c:h val="0.15703275529865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33488946863"/>
          <c:y val="0.0363680154142582"/>
          <c:w val="0.80742825758616"/>
          <c:h val="0.798892100192678"/>
        </c:manualLayout>
      </c:layout>
      <c:scatterChart>
        <c:scatterStyle val="smooth"/>
        <c:varyColors val="0"/>
        <c:ser>
          <c:idx val="8"/>
          <c:order val="8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54560"/>
        <c:axId val="139156480"/>
      </c:scatterChart>
      <c:scatterChart>
        <c:scatterStyle val="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Sheet2!$G$2:$G$57</c:f>
              <c:numCache>
                <c:formatCode>General</c:formatCode>
                <c:ptCount val="56"/>
                <c:pt idx="0">
                  <c:v>4240.737</c:v>
                </c:pt>
                <c:pt idx="1">
                  <c:v>5320.3032</c:v>
                </c:pt>
                <c:pt idx="2">
                  <c:v>6579.7971</c:v>
                </c:pt>
                <c:pt idx="3">
                  <c:v>-109.2435</c:v>
                </c:pt>
                <c:pt idx="4">
                  <c:v>1150.2504</c:v>
                </c:pt>
                <c:pt idx="5">
                  <c:v>2949.5274</c:v>
                </c:pt>
                <c:pt idx="6">
                  <c:v>6058.58625</c:v>
                </c:pt>
                <c:pt idx="7">
                  <c:v>7498.00785</c:v>
                </c:pt>
                <c:pt idx="8">
                  <c:v>9117.35715</c:v>
                </c:pt>
                <c:pt idx="9">
                  <c:v>2968.09965</c:v>
                </c:pt>
                <c:pt idx="10">
                  <c:v>3507.88275</c:v>
                </c:pt>
                <c:pt idx="11">
                  <c:v>4767.37665</c:v>
                </c:pt>
                <c:pt idx="12">
                  <c:v>5846.94285</c:v>
                </c:pt>
                <c:pt idx="13">
                  <c:v>6196.62105</c:v>
                </c:pt>
                <c:pt idx="14">
                  <c:v>7815.97035</c:v>
                </c:pt>
                <c:pt idx="15">
                  <c:v>8715.60885</c:v>
                </c:pt>
                <c:pt idx="16">
                  <c:v>9615.24735</c:v>
                </c:pt>
                <c:pt idx="17">
                  <c:v>3465.98985</c:v>
                </c:pt>
                <c:pt idx="18">
                  <c:v>4905.41145</c:v>
                </c:pt>
                <c:pt idx="19">
                  <c:v>5265.26685</c:v>
                </c:pt>
                <c:pt idx="20">
                  <c:v>6524.76075</c:v>
                </c:pt>
                <c:pt idx="21">
                  <c:v>1431.0262</c:v>
                </c:pt>
                <c:pt idx="22">
                  <c:v>3050.3755</c:v>
                </c:pt>
                <c:pt idx="23">
                  <c:v>4309.8694</c:v>
                </c:pt>
                <c:pt idx="24">
                  <c:v>-1839.3881</c:v>
                </c:pt>
                <c:pt idx="25">
                  <c:v>-1299.605</c:v>
                </c:pt>
                <c:pt idx="26">
                  <c:v>319.744299999999</c:v>
                </c:pt>
                <c:pt idx="27">
                  <c:v>679.599699999999</c:v>
                </c:pt>
                <c:pt idx="28">
                  <c:v>3161.1708</c:v>
                </c:pt>
                <c:pt idx="29">
                  <c:v>5140.3755</c:v>
                </c:pt>
                <c:pt idx="30">
                  <c:v>6399.8694</c:v>
                </c:pt>
                <c:pt idx="31">
                  <c:v>610.4673</c:v>
                </c:pt>
                <c:pt idx="32">
                  <c:v>1330.1781</c:v>
                </c:pt>
                <c:pt idx="33">
                  <c:v>3129.4551</c:v>
                </c:pt>
                <c:pt idx="34">
                  <c:v>6778.29705</c:v>
                </c:pt>
                <c:pt idx="35">
                  <c:v>8037.79095</c:v>
                </c:pt>
                <c:pt idx="36">
                  <c:v>8397.64635</c:v>
                </c:pt>
                <c:pt idx="37">
                  <c:v>2788.17195</c:v>
                </c:pt>
                <c:pt idx="38">
                  <c:v>3687.81045</c:v>
                </c:pt>
                <c:pt idx="39">
                  <c:v>4947.30435</c:v>
                </c:pt>
                <c:pt idx="40">
                  <c:v>5487.08745</c:v>
                </c:pt>
                <c:pt idx="41">
                  <c:v>6736.40415</c:v>
                </c:pt>
                <c:pt idx="42">
                  <c:v>7636.04265</c:v>
                </c:pt>
                <c:pt idx="43">
                  <c:v>8895.53655</c:v>
                </c:pt>
                <c:pt idx="44">
                  <c:v>9255.39195</c:v>
                </c:pt>
                <c:pt idx="45">
                  <c:v>3825.84525</c:v>
                </c:pt>
                <c:pt idx="46">
                  <c:v>5085.33915</c:v>
                </c:pt>
                <c:pt idx="47">
                  <c:v>5805.04995</c:v>
                </c:pt>
                <c:pt idx="48">
                  <c:v>1071.1708</c:v>
                </c:pt>
                <c:pt idx="49">
                  <c:v>1970.8093</c:v>
                </c:pt>
                <c:pt idx="50">
                  <c:v>3410.2309</c:v>
                </c:pt>
                <c:pt idx="51">
                  <c:v>3590.1586</c:v>
                </c:pt>
                <c:pt idx="52">
                  <c:v>-1659.4604</c:v>
                </c:pt>
                <c:pt idx="53">
                  <c:v>-579.8942</c:v>
                </c:pt>
                <c:pt idx="54">
                  <c:v>-220.038800000001</c:v>
                </c:pt>
                <c:pt idx="55">
                  <c:v>1399.3105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NLR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Sheet2!$H$2:$H$57</c:f>
              <c:numCache>
                <c:formatCode>General</c:formatCode>
                <c:ptCount val="56"/>
                <c:pt idx="0">
                  <c:v>4055.64435075936</c:v>
                </c:pt>
                <c:pt idx="1">
                  <c:v>5106.82363476884</c:v>
                </c:pt>
                <c:pt idx="2">
                  <c:v>5995.19257411214</c:v>
                </c:pt>
                <c:pt idx="3">
                  <c:v>994.697498702288</c:v>
                </c:pt>
                <c:pt idx="4">
                  <c:v>2157.30249548605</c:v>
                </c:pt>
                <c:pt idx="5">
                  <c:v>2917.61812529833</c:v>
                </c:pt>
                <c:pt idx="6">
                  <c:v>3512.06299914296</c:v>
                </c:pt>
                <c:pt idx="7">
                  <c:v>7958.41129759069</c:v>
                </c:pt>
                <c:pt idx="8">
                  <c:v>10301.4822866826</c:v>
                </c:pt>
                <c:pt idx="9">
                  <c:v>2300.89310419864</c:v>
                </c:pt>
                <c:pt idx="10">
                  <c:v>3236.30421859054</c:v>
                </c:pt>
                <c:pt idx="11">
                  <c:v>4483.34153125726</c:v>
                </c:pt>
                <c:pt idx="12">
                  <c:v>5213.87391953717</c:v>
                </c:pt>
                <c:pt idx="13">
                  <c:v>3667.063723709</c:v>
                </c:pt>
                <c:pt idx="14">
                  <c:v>8642.07505417799</c:v>
                </c:pt>
                <c:pt idx="15">
                  <c:v>10050.2469913385</c:v>
                </c:pt>
                <c:pt idx="16">
                  <c:v>11186.426506726</c:v>
                </c:pt>
                <c:pt idx="17">
                  <c:v>3109.7533315378</c:v>
                </c:pt>
                <c:pt idx="18">
                  <c:v>4681.20847897189</c:v>
                </c:pt>
                <c:pt idx="19">
                  <c:v>4957.72284490318</c:v>
                </c:pt>
                <c:pt idx="20">
                  <c:v>5765.55269348072</c:v>
                </c:pt>
                <c:pt idx="21">
                  <c:v>1229.72300680954</c:v>
                </c:pt>
                <c:pt idx="22">
                  <c:v>2060.4115621828</c:v>
                </c:pt>
                <c:pt idx="23">
                  <c:v>2444.86386412245</c:v>
                </c:pt>
                <c:pt idx="24">
                  <c:v>622.397877803258</c:v>
                </c:pt>
                <c:pt idx="25">
                  <c:v>805.640783531776</c:v>
                </c:pt>
                <c:pt idx="26">
                  <c:v>1133.168099663</c:v>
                </c:pt>
                <c:pt idx="27">
                  <c:v>1187.22128625402</c:v>
                </c:pt>
                <c:pt idx="28">
                  <c:v>1965.30618530927</c:v>
                </c:pt>
                <c:pt idx="29">
                  <c:v>4956.88612819857</c:v>
                </c:pt>
                <c:pt idx="30">
                  <c:v>5881.79177201071</c:v>
                </c:pt>
                <c:pt idx="31">
                  <c:v>1810.99504760894</c:v>
                </c:pt>
                <c:pt idx="32">
                  <c:v>2254.00621039238</c:v>
                </c:pt>
                <c:pt idx="33">
                  <c:v>2976.94252795834</c:v>
                </c:pt>
                <c:pt idx="34">
                  <c:v>6394.23413312726</c:v>
                </c:pt>
                <c:pt idx="35">
                  <c:v>8858.10897657742</c:v>
                </c:pt>
                <c:pt idx="36">
                  <c:v>9381.34873357847</c:v>
                </c:pt>
                <c:pt idx="37">
                  <c:v>1777.55522607415</c:v>
                </c:pt>
                <c:pt idx="38">
                  <c:v>3463.60600352064</c:v>
                </c:pt>
                <c:pt idx="39">
                  <c:v>4618.95510657736</c:v>
                </c:pt>
                <c:pt idx="40">
                  <c:v>4990.18288676726</c:v>
                </c:pt>
                <c:pt idx="41">
                  <c:v>6144.19707019546</c:v>
                </c:pt>
                <c:pt idx="42">
                  <c:v>8309.64631752688</c:v>
                </c:pt>
                <c:pt idx="43">
                  <c:v>10294.6554741666</c:v>
                </c:pt>
                <c:pt idx="44">
                  <c:v>10756.1259587721</c:v>
                </c:pt>
                <c:pt idx="45">
                  <c:v>3616.46813620106</c:v>
                </c:pt>
                <c:pt idx="46">
                  <c:v>4822.80719819196</c:v>
                </c:pt>
                <c:pt idx="47">
                  <c:v>5329.3577486671</c:v>
                </c:pt>
                <c:pt idx="48">
                  <c:v>816.911965034833</c:v>
                </c:pt>
                <c:pt idx="49">
                  <c:v>1591.77118378006</c:v>
                </c:pt>
                <c:pt idx="50">
                  <c:v>2182.11804016466</c:v>
                </c:pt>
                <c:pt idx="51">
                  <c:v>2238.89401367581</c:v>
                </c:pt>
                <c:pt idx="52">
                  <c:v>692.759901720693</c:v>
                </c:pt>
                <c:pt idx="53">
                  <c:v>974.396328242241</c:v>
                </c:pt>
                <c:pt idx="54">
                  <c:v>1042.83304175221</c:v>
                </c:pt>
                <c:pt idx="55">
                  <c:v>1284.39245543827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M5P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Sheet2!$I$2:$I$57</c:f>
              <c:numCache>
                <c:formatCode>General</c:formatCode>
                <c:ptCount val="56"/>
                <c:pt idx="0">
                  <c:v>4083.744</c:v>
                </c:pt>
                <c:pt idx="1">
                  <c:v>5028.255</c:v>
                </c:pt>
                <c:pt idx="2">
                  <c:v>5947.359</c:v>
                </c:pt>
                <c:pt idx="3">
                  <c:v>663.655</c:v>
                </c:pt>
                <c:pt idx="4">
                  <c:v>1616.619</c:v>
                </c:pt>
                <c:pt idx="5">
                  <c:v>2977.995</c:v>
                </c:pt>
                <c:pt idx="6">
                  <c:v>5494.926</c:v>
                </c:pt>
                <c:pt idx="7">
                  <c:v>8157.115</c:v>
                </c:pt>
                <c:pt idx="8">
                  <c:v>9818.192</c:v>
                </c:pt>
                <c:pt idx="9">
                  <c:v>1457.916</c:v>
                </c:pt>
                <c:pt idx="10">
                  <c:v>2219.308</c:v>
                </c:pt>
                <c:pt idx="11">
                  <c:v>4439.768</c:v>
                </c:pt>
                <c:pt idx="12">
                  <c:v>5903.659</c:v>
                </c:pt>
                <c:pt idx="13">
                  <c:v>5578.187</c:v>
                </c:pt>
                <c:pt idx="14">
                  <c:v>8500.85</c:v>
                </c:pt>
                <c:pt idx="15">
                  <c:v>9485.595</c:v>
                </c:pt>
                <c:pt idx="16">
                  <c:v>10340.006</c:v>
                </c:pt>
                <c:pt idx="17">
                  <c:v>2217.677</c:v>
                </c:pt>
                <c:pt idx="18">
                  <c:v>4678.681</c:v>
                </c:pt>
                <c:pt idx="19">
                  <c:v>5166.645</c:v>
                </c:pt>
                <c:pt idx="20">
                  <c:v>6874.518</c:v>
                </c:pt>
                <c:pt idx="21">
                  <c:v>1946.354</c:v>
                </c:pt>
                <c:pt idx="22">
                  <c:v>2474.69</c:v>
                </c:pt>
                <c:pt idx="23">
                  <c:v>2885.618</c:v>
                </c:pt>
                <c:pt idx="24">
                  <c:v>-130.933</c:v>
                </c:pt>
                <c:pt idx="25">
                  <c:v>45.179</c:v>
                </c:pt>
                <c:pt idx="26">
                  <c:v>573.515</c:v>
                </c:pt>
                <c:pt idx="27">
                  <c:v>690.923</c:v>
                </c:pt>
                <c:pt idx="28">
                  <c:v>3191.964</c:v>
                </c:pt>
                <c:pt idx="29">
                  <c:v>4896.954</c:v>
                </c:pt>
                <c:pt idx="30">
                  <c:v>5816.059</c:v>
                </c:pt>
                <c:pt idx="31">
                  <c:v>1208.206</c:v>
                </c:pt>
                <c:pt idx="32">
                  <c:v>1752.756</c:v>
                </c:pt>
                <c:pt idx="33">
                  <c:v>3114.133</c:v>
                </c:pt>
                <c:pt idx="34">
                  <c:v>6832.227</c:v>
                </c:pt>
                <c:pt idx="35">
                  <c:v>8792.898</c:v>
                </c:pt>
                <c:pt idx="36">
                  <c:v>9134.663</c:v>
                </c:pt>
                <c:pt idx="37">
                  <c:v>1204.119</c:v>
                </c:pt>
                <c:pt idx="38">
                  <c:v>2473.105</c:v>
                </c:pt>
                <c:pt idx="39">
                  <c:v>4683.749</c:v>
                </c:pt>
                <c:pt idx="40">
                  <c:v>5415.695</c:v>
                </c:pt>
                <c:pt idx="41">
                  <c:v>6581.162</c:v>
                </c:pt>
                <c:pt idx="42">
                  <c:v>8323.474</c:v>
                </c:pt>
                <c:pt idx="43">
                  <c:v>9656.477</c:v>
                </c:pt>
                <c:pt idx="44">
                  <c:v>9998.242</c:v>
                </c:pt>
                <c:pt idx="45">
                  <c:v>2725.272</c:v>
                </c:pt>
                <c:pt idx="46">
                  <c:v>4922.663</c:v>
                </c:pt>
                <c:pt idx="47">
                  <c:v>5898.59</c:v>
                </c:pt>
                <c:pt idx="48">
                  <c:v>1828.946</c:v>
                </c:pt>
                <c:pt idx="49">
                  <c:v>2122.466</c:v>
                </c:pt>
                <c:pt idx="50">
                  <c:v>2592.098</c:v>
                </c:pt>
                <c:pt idx="51">
                  <c:v>2650.802</c:v>
                </c:pt>
                <c:pt idx="52">
                  <c:v>-72.229</c:v>
                </c:pt>
                <c:pt idx="53">
                  <c:v>279.995</c:v>
                </c:pt>
                <c:pt idx="54">
                  <c:v>397.403</c:v>
                </c:pt>
                <c:pt idx="55">
                  <c:v>925.739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Sheet2!$J$1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Sheet2!$J$2:$J$57</c:f>
              <c:numCache>
                <c:formatCode>General</c:formatCode>
                <c:ptCount val="56"/>
                <c:pt idx="0">
                  <c:v>4198.843</c:v>
                </c:pt>
                <c:pt idx="1">
                  <c:v>5541.423</c:v>
                </c:pt>
                <c:pt idx="2">
                  <c:v>5482.86</c:v>
                </c:pt>
                <c:pt idx="3">
                  <c:v>995.224</c:v>
                </c:pt>
                <c:pt idx="4">
                  <c:v>1694.618</c:v>
                </c:pt>
                <c:pt idx="5">
                  <c:v>3082.936</c:v>
                </c:pt>
                <c:pt idx="6">
                  <c:v>4478.333</c:v>
                </c:pt>
                <c:pt idx="7">
                  <c:v>8404.95</c:v>
                </c:pt>
                <c:pt idx="8">
                  <c:v>9682.471</c:v>
                </c:pt>
                <c:pt idx="9">
                  <c:v>1242.233</c:v>
                </c:pt>
                <c:pt idx="10">
                  <c:v>1550.135</c:v>
                </c:pt>
                <c:pt idx="11">
                  <c:v>4881.984</c:v>
                </c:pt>
                <c:pt idx="12">
                  <c:v>6357.364</c:v>
                </c:pt>
                <c:pt idx="13">
                  <c:v>4591.635</c:v>
                </c:pt>
                <c:pt idx="14">
                  <c:v>9286.392</c:v>
                </c:pt>
                <c:pt idx="15">
                  <c:v>9754.347</c:v>
                </c:pt>
                <c:pt idx="16">
                  <c:v>10066.605</c:v>
                </c:pt>
                <c:pt idx="17">
                  <c:v>1480.584</c:v>
                </c:pt>
                <c:pt idx="18">
                  <c:v>5131.119</c:v>
                </c:pt>
                <c:pt idx="19">
                  <c:v>5832.738</c:v>
                </c:pt>
                <c:pt idx="20">
                  <c:v>6750.165</c:v>
                </c:pt>
                <c:pt idx="21">
                  <c:v>2220.681</c:v>
                </c:pt>
                <c:pt idx="22">
                  <c:v>2203.811</c:v>
                </c:pt>
                <c:pt idx="23">
                  <c:v>2323.622</c:v>
                </c:pt>
                <c:pt idx="24">
                  <c:v>631.05</c:v>
                </c:pt>
                <c:pt idx="25">
                  <c:v>633.329</c:v>
                </c:pt>
                <c:pt idx="26">
                  <c:v>901.384</c:v>
                </c:pt>
                <c:pt idx="27">
                  <c:v>902.417</c:v>
                </c:pt>
                <c:pt idx="28">
                  <c:v>2626.346</c:v>
                </c:pt>
                <c:pt idx="29">
                  <c:v>5420.134</c:v>
                </c:pt>
                <c:pt idx="30">
                  <c:v>5511.182</c:v>
                </c:pt>
                <c:pt idx="31">
                  <c:v>1174.556</c:v>
                </c:pt>
                <c:pt idx="32">
                  <c:v>2235.621</c:v>
                </c:pt>
                <c:pt idx="33">
                  <c:v>3119.552</c:v>
                </c:pt>
                <c:pt idx="34">
                  <c:v>6546.963</c:v>
                </c:pt>
                <c:pt idx="35">
                  <c:v>9451.765</c:v>
                </c:pt>
                <c:pt idx="36">
                  <c:v>9417.021</c:v>
                </c:pt>
                <c:pt idx="37">
                  <c:v>1246.655</c:v>
                </c:pt>
                <c:pt idx="38">
                  <c:v>2506.941</c:v>
                </c:pt>
                <c:pt idx="39">
                  <c:v>5387.23</c:v>
                </c:pt>
                <c:pt idx="40">
                  <c:v>5877.35</c:v>
                </c:pt>
                <c:pt idx="41">
                  <c:v>6246.954</c:v>
                </c:pt>
                <c:pt idx="42">
                  <c:v>8710.879</c:v>
                </c:pt>
                <c:pt idx="43">
                  <c:v>9751.109</c:v>
                </c:pt>
                <c:pt idx="44">
                  <c:v>9932.25</c:v>
                </c:pt>
                <c:pt idx="45">
                  <c:v>2643.385</c:v>
                </c:pt>
                <c:pt idx="46">
                  <c:v>5660.438</c:v>
                </c:pt>
                <c:pt idx="47">
                  <c:v>6684.256</c:v>
                </c:pt>
                <c:pt idx="48">
                  <c:v>1924.718</c:v>
                </c:pt>
                <c:pt idx="49">
                  <c:v>2159.69</c:v>
                </c:pt>
                <c:pt idx="50">
                  <c:v>2486.316</c:v>
                </c:pt>
                <c:pt idx="51">
                  <c:v>2625.346</c:v>
                </c:pt>
                <c:pt idx="52">
                  <c:v>645.12</c:v>
                </c:pt>
                <c:pt idx="53">
                  <c:v>909.234</c:v>
                </c:pt>
                <c:pt idx="54">
                  <c:v>726.321</c:v>
                </c:pt>
                <c:pt idx="55">
                  <c:v>1160.29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Sheet2!$K$1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Sheet2!$K$2:$K$57</c:f>
              <c:numCache>
                <c:formatCode>General</c:formatCode>
                <c:ptCount val="56"/>
                <c:pt idx="0">
                  <c:v>4858</c:v>
                </c:pt>
                <c:pt idx="1">
                  <c:v>5510</c:v>
                </c:pt>
                <c:pt idx="2">
                  <c:v>5770.4</c:v>
                </c:pt>
                <c:pt idx="3">
                  <c:v>995.25</c:v>
                </c:pt>
                <c:pt idx="4">
                  <c:v>1220</c:v>
                </c:pt>
                <c:pt idx="5">
                  <c:v>3286.75</c:v>
                </c:pt>
                <c:pt idx="6">
                  <c:v>4205</c:v>
                </c:pt>
                <c:pt idx="7">
                  <c:v>8808.333</c:v>
                </c:pt>
                <c:pt idx="8">
                  <c:v>9849.5</c:v>
                </c:pt>
                <c:pt idx="9">
                  <c:v>1007.5</c:v>
                </c:pt>
                <c:pt idx="10">
                  <c:v>1007.5</c:v>
                </c:pt>
                <c:pt idx="11">
                  <c:v>4348</c:v>
                </c:pt>
                <c:pt idx="12">
                  <c:v>6379.8</c:v>
                </c:pt>
                <c:pt idx="13">
                  <c:v>4505</c:v>
                </c:pt>
                <c:pt idx="14">
                  <c:v>9902</c:v>
                </c:pt>
                <c:pt idx="15">
                  <c:v>9902</c:v>
                </c:pt>
                <c:pt idx="16">
                  <c:v>10150.667</c:v>
                </c:pt>
                <c:pt idx="17">
                  <c:v>1475</c:v>
                </c:pt>
                <c:pt idx="18">
                  <c:v>4648</c:v>
                </c:pt>
                <c:pt idx="19">
                  <c:v>5621</c:v>
                </c:pt>
                <c:pt idx="20">
                  <c:v>6675.5</c:v>
                </c:pt>
                <c:pt idx="21">
                  <c:v>2150.556</c:v>
                </c:pt>
                <c:pt idx="22">
                  <c:v>2150.556</c:v>
                </c:pt>
                <c:pt idx="23">
                  <c:v>2389.833</c:v>
                </c:pt>
                <c:pt idx="24">
                  <c:v>576.333</c:v>
                </c:pt>
                <c:pt idx="25">
                  <c:v>576.333</c:v>
                </c:pt>
                <c:pt idx="26">
                  <c:v>760.6</c:v>
                </c:pt>
                <c:pt idx="27">
                  <c:v>760.6</c:v>
                </c:pt>
                <c:pt idx="28">
                  <c:v>2405</c:v>
                </c:pt>
                <c:pt idx="29">
                  <c:v>5510</c:v>
                </c:pt>
                <c:pt idx="30">
                  <c:v>5770.4</c:v>
                </c:pt>
                <c:pt idx="31">
                  <c:v>995.25</c:v>
                </c:pt>
                <c:pt idx="32">
                  <c:v>2235.333</c:v>
                </c:pt>
                <c:pt idx="33">
                  <c:v>3286.75</c:v>
                </c:pt>
                <c:pt idx="34">
                  <c:v>7422</c:v>
                </c:pt>
                <c:pt idx="35">
                  <c:v>9631</c:v>
                </c:pt>
                <c:pt idx="36">
                  <c:v>9631</c:v>
                </c:pt>
                <c:pt idx="37">
                  <c:v>1007.5</c:v>
                </c:pt>
                <c:pt idx="38">
                  <c:v>2220</c:v>
                </c:pt>
                <c:pt idx="39">
                  <c:v>5315.5</c:v>
                </c:pt>
                <c:pt idx="40">
                  <c:v>6379.8</c:v>
                </c:pt>
                <c:pt idx="41">
                  <c:v>6602</c:v>
                </c:pt>
                <c:pt idx="42">
                  <c:v>9074</c:v>
                </c:pt>
                <c:pt idx="43">
                  <c:v>9902</c:v>
                </c:pt>
                <c:pt idx="44">
                  <c:v>10150.667</c:v>
                </c:pt>
                <c:pt idx="45">
                  <c:v>2520</c:v>
                </c:pt>
                <c:pt idx="46">
                  <c:v>5621</c:v>
                </c:pt>
                <c:pt idx="47">
                  <c:v>6675.5</c:v>
                </c:pt>
                <c:pt idx="48">
                  <c:v>2150.556</c:v>
                </c:pt>
                <c:pt idx="49">
                  <c:v>2150.556</c:v>
                </c:pt>
                <c:pt idx="50">
                  <c:v>5658.5</c:v>
                </c:pt>
                <c:pt idx="51">
                  <c:v>5658.5</c:v>
                </c:pt>
                <c:pt idx="52">
                  <c:v>576.333</c:v>
                </c:pt>
                <c:pt idx="53">
                  <c:v>576.333</c:v>
                </c:pt>
                <c:pt idx="54">
                  <c:v>576.333</c:v>
                </c:pt>
                <c:pt idx="55">
                  <c:v>760.6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Sheet2!$L$1</c:f>
              <c:strCache>
                <c:ptCount val="1"/>
                <c:pt idx="0">
                  <c:v>REP Tree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Sheet2!$L$2:$L$57</c:f>
              <c:numCache>
                <c:formatCode>General</c:formatCode>
                <c:ptCount val="56"/>
                <c:pt idx="0">
                  <c:v>3118</c:v>
                </c:pt>
                <c:pt idx="1">
                  <c:v>5477.545</c:v>
                </c:pt>
                <c:pt idx="2">
                  <c:v>5477.545</c:v>
                </c:pt>
                <c:pt idx="3">
                  <c:v>1040.2</c:v>
                </c:pt>
                <c:pt idx="4">
                  <c:v>1040.2</c:v>
                </c:pt>
                <c:pt idx="5">
                  <c:v>3040.667</c:v>
                </c:pt>
                <c:pt idx="6">
                  <c:v>5040.2</c:v>
                </c:pt>
                <c:pt idx="7">
                  <c:v>8914.6</c:v>
                </c:pt>
                <c:pt idx="8">
                  <c:v>9853.824</c:v>
                </c:pt>
                <c:pt idx="9">
                  <c:v>1206.833</c:v>
                </c:pt>
                <c:pt idx="10">
                  <c:v>1206.833</c:v>
                </c:pt>
                <c:pt idx="11">
                  <c:v>4498</c:v>
                </c:pt>
                <c:pt idx="12">
                  <c:v>6456.8</c:v>
                </c:pt>
                <c:pt idx="13">
                  <c:v>5040.2</c:v>
                </c:pt>
                <c:pt idx="14">
                  <c:v>8914.6</c:v>
                </c:pt>
                <c:pt idx="15">
                  <c:v>9853.824</c:v>
                </c:pt>
                <c:pt idx="16">
                  <c:v>9853.824</c:v>
                </c:pt>
                <c:pt idx="17">
                  <c:v>1206.833</c:v>
                </c:pt>
                <c:pt idx="18">
                  <c:v>4498</c:v>
                </c:pt>
                <c:pt idx="19">
                  <c:v>5417.333</c:v>
                </c:pt>
                <c:pt idx="20">
                  <c:v>6456.8</c:v>
                </c:pt>
                <c:pt idx="21">
                  <c:v>2141.5</c:v>
                </c:pt>
                <c:pt idx="22">
                  <c:v>2366</c:v>
                </c:pt>
                <c:pt idx="23">
                  <c:v>2366</c:v>
                </c:pt>
                <c:pt idx="24">
                  <c:v>540.333</c:v>
                </c:pt>
                <c:pt idx="25">
                  <c:v>540.333</c:v>
                </c:pt>
                <c:pt idx="26">
                  <c:v>718.5</c:v>
                </c:pt>
                <c:pt idx="27">
                  <c:v>718.5</c:v>
                </c:pt>
                <c:pt idx="28">
                  <c:v>3118</c:v>
                </c:pt>
                <c:pt idx="29">
                  <c:v>5477.545</c:v>
                </c:pt>
                <c:pt idx="30">
                  <c:v>5477.545</c:v>
                </c:pt>
                <c:pt idx="31">
                  <c:v>1040.2</c:v>
                </c:pt>
                <c:pt idx="32">
                  <c:v>2218.2</c:v>
                </c:pt>
                <c:pt idx="33">
                  <c:v>3040.667</c:v>
                </c:pt>
                <c:pt idx="34">
                  <c:v>7248.667</c:v>
                </c:pt>
                <c:pt idx="35">
                  <c:v>9853.824</c:v>
                </c:pt>
                <c:pt idx="36">
                  <c:v>9853.824</c:v>
                </c:pt>
                <c:pt idx="37">
                  <c:v>1206.833</c:v>
                </c:pt>
                <c:pt idx="38">
                  <c:v>2814.5</c:v>
                </c:pt>
                <c:pt idx="39">
                  <c:v>5417.333</c:v>
                </c:pt>
                <c:pt idx="40">
                  <c:v>6456.8</c:v>
                </c:pt>
                <c:pt idx="41">
                  <c:v>5040.2</c:v>
                </c:pt>
                <c:pt idx="42">
                  <c:v>8914.6</c:v>
                </c:pt>
                <c:pt idx="43">
                  <c:v>9853.824</c:v>
                </c:pt>
                <c:pt idx="44">
                  <c:v>9853.824</c:v>
                </c:pt>
                <c:pt idx="45">
                  <c:v>2814.5</c:v>
                </c:pt>
                <c:pt idx="46">
                  <c:v>5417.333</c:v>
                </c:pt>
                <c:pt idx="47">
                  <c:v>6456.8</c:v>
                </c:pt>
                <c:pt idx="48">
                  <c:v>2141.5</c:v>
                </c:pt>
                <c:pt idx="49">
                  <c:v>2141.5</c:v>
                </c:pt>
                <c:pt idx="50">
                  <c:v>2366</c:v>
                </c:pt>
                <c:pt idx="51">
                  <c:v>2366</c:v>
                </c:pt>
                <c:pt idx="52">
                  <c:v>540.333</c:v>
                </c:pt>
                <c:pt idx="53">
                  <c:v>718.5</c:v>
                </c:pt>
                <c:pt idx="54">
                  <c:v>718.5</c:v>
                </c:pt>
                <c:pt idx="55">
                  <c:v>718.5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Sheet2!$M$1</c:f>
              <c:strCache>
                <c:ptCount val="1"/>
                <c:pt idx="0">
                  <c:v>GP_PUK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Sheet2!$M$2:$M$57</c:f>
              <c:numCache>
                <c:formatCode>General</c:formatCode>
                <c:ptCount val="56"/>
                <c:pt idx="0">
                  <c:v>4116.903</c:v>
                </c:pt>
                <c:pt idx="1">
                  <c:v>5605.271</c:v>
                </c:pt>
                <c:pt idx="2">
                  <c:v>5817.523</c:v>
                </c:pt>
                <c:pt idx="3">
                  <c:v>1076.169</c:v>
                </c:pt>
                <c:pt idx="4">
                  <c:v>1567.063</c:v>
                </c:pt>
                <c:pt idx="5">
                  <c:v>3147.444</c:v>
                </c:pt>
                <c:pt idx="6">
                  <c:v>3650.419</c:v>
                </c:pt>
                <c:pt idx="7">
                  <c:v>9068.397</c:v>
                </c:pt>
                <c:pt idx="8">
                  <c:v>9786.966</c:v>
                </c:pt>
                <c:pt idx="9">
                  <c:v>935.723</c:v>
                </c:pt>
                <c:pt idx="10">
                  <c:v>1332.426</c:v>
                </c:pt>
                <c:pt idx="11">
                  <c:v>4760.77</c:v>
                </c:pt>
                <c:pt idx="12">
                  <c:v>6225.816</c:v>
                </c:pt>
                <c:pt idx="13">
                  <c:v>4078.861</c:v>
                </c:pt>
                <c:pt idx="14">
                  <c:v>9790.853</c:v>
                </c:pt>
                <c:pt idx="15">
                  <c:v>9908.005</c:v>
                </c:pt>
                <c:pt idx="16">
                  <c:v>10171.906</c:v>
                </c:pt>
                <c:pt idx="17">
                  <c:v>1335.567</c:v>
                </c:pt>
                <c:pt idx="18">
                  <c:v>5058.15</c:v>
                </c:pt>
                <c:pt idx="19">
                  <c:v>5555.89</c:v>
                </c:pt>
                <c:pt idx="20">
                  <c:v>6779.913</c:v>
                </c:pt>
                <c:pt idx="21">
                  <c:v>2102.651</c:v>
                </c:pt>
                <c:pt idx="22">
                  <c:v>2203.819</c:v>
                </c:pt>
                <c:pt idx="23">
                  <c:v>2383.52</c:v>
                </c:pt>
                <c:pt idx="24">
                  <c:v>461.406</c:v>
                </c:pt>
                <c:pt idx="25">
                  <c:v>553.415</c:v>
                </c:pt>
                <c:pt idx="26">
                  <c:v>692.225</c:v>
                </c:pt>
                <c:pt idx="27">
                  <c:v>737.655</c:v>
                </c:pt>
                <c:pt idx="28">
                  <c:v>2474.972</c:v>
                </c:pt>
                <c:pt idx="29">
                  <c:v>5514.553</c:v>
                </c:pt>
                <c:pt idx="30">
                  <c:v>5782.156</c:v>
                </c:pt>
                <c:pt idx="31">
                  <c:v>996.451</c:v>
                </c:pt>
                <c:pt idx="32">
                  <c:v>1797.316</c:v>
                </c:pt>
                <c:pt idx="33">
                  <c:v>3273.015</c:v>
                </c:pt>
                <c:pt idx="34">
                  <c:v>6813.335</c:v>
                </c:pt>
                <c:pt idx="35">
                  <c:v>9456.761</c:v>
                </c:pt>
                <c:pt idx="36">
                  <c:v>9588.878</c:v>
                </c:pt>
                <c:pt idx="37">
                  <c:v>997.154</c:v>
                </c:pt>
                <c:pt idx="38">
                  <c:v>1713.611</c:v>
                </c:pt>
                <c:pt idx="39">
                  <c:v>5059.269</c:v>
                </c:pt>
                <c:pt idx="40">
                  <c:v>5804.54</c:v>
                </c:pt>
                <c:pt idx="41">
                  <c:v>6095.658</c:v>
                </c:pt>
                <c:pt idx="42">
                  <c:v>9562.24</c:v>
                </c:pt>
                <c:pt idx="43">
                  <c:v>9950.597</c:v>
                </c:pt>
                <c:pt idx="44">
                  <c:v>10077.82</c:v>
                </c:pt>
                <c:pt idx="45">
                  <c:v>1947.731</c:v>
                </c:pt>
                <c:pt idx="46">
                  <c:v>5332.387</c:v>
                </c:pt>
                <c:pt idx="47">
                  <c:v>6233.653</c:v>
                </c:pt>
                <c:pt idx="48">
                  <c:v>2136.65</c:v>
                </c:pt>
                <c:pt idx="49">
                  <c:v>2126.465</c:v>
                </c:pt>
                <c:pt idx="50">
                  <c:v>2246.841</c:v>
                </c:pt>
                <c:pt idx="51">
                  <c:v>2272.993</c:v>
                </c:pt>
                <c:pt idx="52">
                  <c:v>484.892</c:v>
                </c:pt>
                <c:pt idx="53">
                  <c:v>627.59</c:v>
                </c:pt>
                <c:pt idx="54">
                  <c:v>640.341</c:v>
                </c:pt>
                <c:pt idx="55">
                  <c:v>785.535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Sheet2!$N$1</c:f>
              <c:strCache>
                <c:ptCount val="1"/>
                <c:pt idx="0">
                  <c:v>GP_RBF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Sheet2!$N$2:$N$57</c:f>
              <c:numCache>
                <c:formatCode>General</c:formatCode>
                <c:ptCount val="56"/>
                <c:pt idx="0">
                  <c:v>4207.634</c:v>
                </c:pt>
                <c:pt idx="1">
                  <c:v>5495.978</c:v>
                </c:pt>
                <c:pt idx="2">
                  <c:v>5838.348</c:v>
                </c:pt>
                <c:pt idx="3">
                  <c:v>774.405</c:v>
                </c:pt>
                <c:pt idx="4">
                  <c:v>1542.733</c:v>
                </c:pt>
                <c:pt idx="5">
                  <c:v>3020.613</c:v>
                </c:pt>
                <c:pt idx="6">
                  <c:v>3855.779</c:v>
                </c:pt>
                <c:pt idx="7">
                  <c:v>8749.407</c:v>
                </c:pt>
                <c:pt idx="8">
                  <c:v>9910.702</c:v>
                </c:pt>
                <c:pt idx="9">
                  <c:v>380.91</c:v>
                </c:pt>
                <c:pt idx="10">
                  <c:v>1599.495</c:v>
                </c:pt>
                <c:pt idx="11">
                  <c:v>4584.76</c:v>
                </c:pt>
                <c:pt idx="12">
                  <c:v>6189.157</c:v>
                </c:pt>
                <c:pt idx="13">
                  <c:v>4181.627</c:v>
                </c:pt>
                <c:pt idx="14">
                  <c:v>9417.042</c:v>
                </c:pt>
                <c:pt idx="15">
                  <c:v>10306.492</c:v>
                </c:pt>
                <c:pt idx="16">
                  <c:v>10122.364</c:v>
                </c:pt>
                <c:pt idx="17">
                  <c:v>1691.892</c:v>
                </c:pt>
                <c:pt idx="18">
                  <c:v>4745.788</c:v>
                </c:pt>
                <c:pt idx="19">
                  <c:v>5434.95</c:v>
                </c:pt>
                <c:pt idx="20">
                  <c:v>6820.012</c:v>
                </c:pt>
                <c:pt idx="21">
                  <c:v>2077.801</c:v>
                </c:pt>
                <c:pt idx="22">
                  <c:v>2221.214</c:v>
                </c:pt>
                <c:pt idx="23">
                  <c:v>2371.272</c:v>
                </c:pt>
                <c:pt idx="24">
                  <c:v>497.585</c:v>
                </c:pt>
                <c:pt idx="25">
                  <c:v>531.219</c:v>
                </c:pt>
                <c:pt idx="26">
                  <c:v>697.596</c:v>
                </c:pt>
                <c:pt idx="27">
                  <c:v>726.738</c:v>
                </c:pt>
                <c:pt idx="28">
                  <c:v>2164.256</c:v>
                </c:pt>
                <c:pt idx="29">
                  <c:v>5353.439</c:v>
                </c:pt>
                <c:pt idx="30">
                  <c:v>5840.803</c:v>
                </c:pt>
                <c:pt idx="31">
                  <c:v>1127.175</c:v>
                </c:pt>
                <c:pt idx="32">
                  <c:v>1697.753</c:v>
                </c:pt>
                <c:pt idx="33">
                  <c:v>3130.395</c:v>
                </c:pt>
                <c:pt idx="34">
                  <c:v>6704.867</c:v>
                </c:pt>
                <c:pt idx="35">
                  <c:v>9605.022</c:v>
                </c:pt>
                <c:pt idx="36">
                  <c:v>9877.365</c:v>
                </c:pt>
                <c:pt idx="37">
                  <c:v>28.291</c:v>
                </c:pt>
                <c:pt idx="38">
                  <c:v>2039.331</c:v>
                </c:pt>
                <c:pt idx="39">
                  <c:v>4939.542</c:v>
                </c:pt>
                <c:pt idx="40">
                  <c:v>5801.466</c:v>
                </c:pt>
                <c:pt idx="41">
                  <c:v>6340.834</c:v>
                </c:pt>
                <c:pt idx="42">
                  <c:v>9056.656</c:v>
                </c:pt>
                <c:pt idx="43">
                  <c:v>10331.104</c:v>
                </c:pt>
                <c:pt idx="44">
                  <c:v>10275.006</c:v>
                </c:pt>
                <c:pt idx="45">
                  <c:v>2401.976</c:v>
                </c:pt>
                <c:pt idx="46">
                  <c:v>5102.596</c:v>
                </c:pt>
                <c:pt idx="47">
                  <c:v>6246.463</c:v>
                </c:pt>
                <c:pt idx="48">
                  <c:v>2046.663</c:v>
                </c:pt>
                <c:pt idx="49">
                  <c:v>2131.302</c:v>
                </c:pt>
                <c:pt idx="50">
                  <c:v>2250.275</c:v>
                </c:pt>
                <c:pt idx="51">
                  <c:v>2267.329</c:v>
                </c:pt>
                <c:pt idx="52">
                  <c:v>503.924</c:v>
                </c:pt>
                <c:pt idx="53">
                  <c:v>611.068</c:v>
                </c:pt>
                <c:pt idx="54">
                  <c:v>649.445</c:v>
                </c:pt>
                <c:pt idx="55">
                  <c:v>805.657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54560"/>
        <c:axId val="139156480"/>
      </c:scatterChart>
      <c:valAx>
        <c:axId val="139154560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156480"/>
        <c:crosses val="autoZero"/>
        <c:crossBetween val="midCat"/>
        <c:majorUnit val="2000"/>
      </c:valAx>
      <c:valAx>
        <c:axId val="139156480"/>
        <c:scaling>
          <c:orientation val="minMax"/>
          <c:max val="12000"/>
          <c:min val="-2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411918165591103"/>
              <c:y val="0.06525241606359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154560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70300700261"/>
          <c:y val="0.0539499036608863"/>
          <c:w val="0.522861458190306"/>
          <c:h val="0.188824662813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16090060406"/>
          <c:y val="0.0484104046242775"/>
          <c:w val="0.807454695222405"/>
          <c:h val="0.838872832369942"/>
        </c:manualLayout>
      </c:layout>
      <c:scatterChart>
        <c:scatterStyle val="smooth"/>
        <c:varyColors val="0"/>
        <c:ser>
          <c:idx val="8"/>
          <c:order val="8"/>
          <c:spPr>
            <a:ln w="158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Sheet2!$E$79:$E$80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29440"/>
        <c:axId val="159289728"/>
      </c:scatterChart>
      <c:scatterChart>
        <c:scatterStyle val="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Sheet2!$G$2:$G$57</c:f>
              <c:numCache>
                <c:formatCode>General</c:formatCode>
                <c:ptCount val="56"/>
                <c:pt idx="0">
                  <c:v>4240.737</c:v>
                </c:pt>
                <c:pt idx="1">
                  <c:v>5320.3032</c:v>
                </c:pt>
                <c:pt idx="2">
                  <c:v>6579.7971</c:v>
                </c:pt>
                <c:pt idx="3">
                  <c:v>-109.2435</c:v>
                </c:pt>
                <c:pt idx="4">
                  <c:v>1150.2504</c:v>
                </c:pt>
                <c:pt idx="5">
                  <c:v>2949.5274</c:v>
                </c:pt>
                <c:pt idx="6">
                  <c:v>6058.58625</c:v>
                </c:pt>
                <c:pt idx="7">
                  <c:v>7498.00785</c:v>
                </c:pt>
                <c:pt idx="8">
                  <c:v>9117.35715</c:v>
                </c:pt>
                <c:pt idx="9">
                  <c:v>2968.09965</c:v>
                </c:pt>
                <c:pt idx="10">
                  <c:v>3507.88275</c:v>
                </c:pt>
                <c:pt idx="11">
                  <c:v>4767.37665</c:v>
                </c:pt>
                <c:pt idx="12">
                  <c:v>5846.94285</c:v>
                </c:pt>
                <c:pt idx="13">
                  <c:v>6196.62105</c:v>
                </c:pt>
                <c:pt idx="14">
                  <c:v>7815.97035</c:v>
                </c:pt>
                <c:pt idx="15">
                  <c:v>8715.60885</c:v>
                </c:pt>
                <c:pt idx="16">
                  <c:v>9615.24735</c:v>
                </c:pt>
                <c:pt idx="17">
                  <c:v>3465.98985</c:v>
                </c:pt>
                <c:pt idx="18">
                  <c:v>4905.41145</c:v>
                </c:pt>
                <c:pt idx="19">
                  <c:v>5265.26685</c:v>
                </c:pt>
                <c:pt idx="20">
                  <c:v>6524.76075</c:v>
                </c:pt>
                <c:pt idx="21">
                  <c:v>1431.0262</c:v>
                </c:pt>
                <c:pt idx="22">
                  <c:v>3050.3755</c:v>
                </c:pt>
                <c:pt idx="23">
                  <c:v>4309.8694</c:v>
                </c:pt>
                <c:pt idx="24">
                  <c:v>-1839.3881</c:v>
                </c:pt>
                <c:pt idx="25">
                  <c:v>-1299.605</c:v>
                </c:pt>
                <c:pt idx="26">
                  <c:v>319.744299999999</c:v>
                </c:pt>
                <c:pt idx="27">
                  <c:v>679.599699999999</c:v>
                </c:pt>
                <c:pt idx="28">
                  <c:v>3161.1708</c:v>
                </c:pt>
                <c:pt idx="29">
                  <c:v>5140.3755</c:v>
                </c:pt>
                <c:pt idx="30">
                  <c:v>6399.8694</c:v>
                </c:pt>
                <c:pt idx="31">
                  <c:v>610.4673</c:v>
                </c:pt>
                <c:pt idx="32">
                  <c:v>1330.1781</c:v>
                </c:pt>
                <c:pt idx="33">
                  <c:v>3129.4551</c:v>
                </c:pt>
                <c:pt idx="34">
                  <c:v>6778.29705</c:v>
                </c:pt>
                <c:pt idx="35">
                  <c:v>8037.79095</c:v>
                </c:pt>
                <c:pt idx="36">
                  <c:v>8397.64635</c:v>
                </c:pt>
                <c:pt idx="37">
                  <c:v>2788.17195</c:v>
                </c:pt>
                <c:pt idx="38">
                  <c:v>3687.81045</c:v>
                </c:pt>
                <c:pt idx="39">
                  <c:v>4947.30435</c:v>
                </c:pt>
                <c:pt idx="40">
                  <c:v>5487.08745</c:v>
                </c:pt>
                <c:pt idx="41">
                  <c:v>6736.40415</c:v>
                </c:pt>
                <c:pt idx="42">
                  <c:v>7636.04265</c:v>
                </c:pt>
                <c:pt idx="43">
                  <c:v>8895.53655</c:v>
                </c:pt>
                <c:pt idx="44">
                  <c:v>9255.39195</c:v>
                </c:pt>
                <c:pt idx="45">
                  <c:v>3825.84525</c:v>
                </c:pt>
                <c:pt idx="46">
                  <c:v>5085.33915</c:v>
                </c:pt>
                <c:pt idx="47">
                  <c:v>5805.04995</c:v>
                </c:pt>
                <c:pt idx="48">
                  <c:v>1071.1708</c:v>
                </c:pt>
                <c:pt idx="49">
                  <c:v>1970.8093</c:v>
                </c:pt>
                <c:pt idx="50">
                  <c:v>3410.2309</c:v>
                </c:pt>
                <c:pt idx="51">
                  <c:v>3590.1586</c:v>
                </c:pt>
                <c:pt idx="52">
                  <c:v>-1659.4604</c:v>
                </c:pt>
                <c:pt idx="53">
                  <c:v>-579.8942</c:v>
                </c:pt>
                <c:pt idx="54">
                  <c:v>-220.038800000001</c:v>
                </c:pt>
                <c:pt idx="55">
                  <c:v>1399.3105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NLR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Sheet2!$H$2:$H$57</c:f>
              <c:numCache>
                <c:formatCode>General</c:formatCode>
                <c:ptCount val="56"/>
                <c:pt idx="0">
                  <c:v>4055.64435075936</c:v>
                </c:pt>
                <c:pt idx="1">
                  <c:v>5106.82363476884</c:v>
                </c:pt>
                <c:pt idx="2">
                  <c:v>5995.19257411214</c:v>
                </c:pt>
                <c:pt idx="3">
                  <c:v>994.697498702288</c:v>
                </c:pt>
                <c:pt idx="4">
                  <c:v>2157.30249548605</c:v>
                </c:pt>
                <c:pt idx="5">
                  <c:v>2917.61812529833</c:v>
                </c:pt>
                <c:pt idx="6">
                  <c:v>3512.06299914296</c:v>
                </c:pt>
                <c:pt idx="7">
                  <c:v>7958.41129759069</c:v>
                </c:pt>
                <c:pt idx="8">
                  <c:v>10301.4822866826</c:v>
                </c:pt>
                <c:pt idx="9">
                  <c:v>2300.89310419864</c:v>
                </c:pt>
                <c:pt idx="10">
                  <c:v>3236.30421859054</c:v>
                </c:pt>
                <c:pt idx="11">
                  <c:v>4483.34153125726</c:v>
                </c:pt>
                <c:pt idx="12">
                  <c:v>5213.87391953717</c:v>
                </c:pt>
                <c:pt idx="13">
                  <c:v>3667.063723709</c:v>
                </c:pt>
                <c:pt idx="14">
                  <c:v>8642.07505417799</c:v>
                </c:pt>
                <c:pt idx="15">
                  <c:v>10050.2469913385</c:v>
                </c:pt>
                <c:pt idx="16">
                  <c:v>11186.426506726</c:v>
                </c:pt>
                <c:pt idx="17">
                  <c:v>3109.7533315378</c:v>
                </c:pt>
                <c:pt idx="18">
                  <c:v>4681.20847897189</c:v>
                </c:pt>
                <c:pt idx="19">
                  <c:v>4957.72284490318</c:v>
                </c:pt>
                <c:pt idx="20">
                  <c:v>5765.55269348072</c:v>
                </c:pt>
                <c:pt idx="21">
                  <c:v>1229.72300680954</c:v>
                </c:pt>
                <c:pt idx="22">
                  <c:v>2060.4115621828</c:v>
                </c:pt>
                <c:pt idx="23">
                  <c:v>2444.86386412245</c:v>
                </c:pt>
                <c:pt idx="24">
                  <c:v>622.397877803258</c:v>
                </c:pt>
                <c:pt idx="25">
                  <c:v>805.640783531776</c:v>
                </c:pt>
                <c:pt idx="26">
                  <c:v>1133.168099663</c:v>
                </c:pt>
                <c:pt idx="27">
                  <c:v>1187.22128625402</c:v>
                </c:pt>
                <c:pt idx="28">
                  <c:v>1965.30618530927</c:v>
                </c:pt>
                <c:pt idx="29">
                  <c:v>4956.88612819857</c:v>
                </c:pt>
                <c:pt idx="30">
                  <c:v>5881.79177201071</c:v>
                </c:pt>
                <c:pt idx="31">
                  <c:v>1810.99504760894</c:v>
                </c:pt>
                <c:pt idx="32">
                  <c:v>2254.00621039238</c:v>
                </c:pt>
                <c:pt idx="33">
                  <c:v>2976.94252795834</c:v>
                </c:pt>
                <c:pt idx="34">
                  <c:v>6394.23413312726</c:v>
                </c:pt>
                <c:pt idx="35">
                  <c:v>8858.10897657742</c:v>
                </c:pt>
                <c:pt idx="36">
                  <c:v>9381.34873357847</c:v>
                </c:pt>
                <c:pt idx="37">
                  <c:v>1777.55522607415</c:v>
                </c:pt>
                <c:pt idx="38">
                  <c:v>3463.60600352064</c:v>
                </c:pt>
                <c:pt idx="39">
                  <c:v>4618.95510657736</c:v>
                </c:pt>
                <c:pt idx="40">
                  <c:v>4990.18288676726</c:v>
                </c:pt>
                <c:pt idx="41">
                  <c:v>6144.19707019546</c:v>
                </c:pt>
                <c:pt idx="42">
                  <c:v>8309.64631752688</c:v>
                </c:pt>
                <c:pt idx="43">
                  <c:v>10294.6554741666</c:v>
                </c:pt>
                <c:pt idx="44">
                  <c:v>10756.1259587721</c:v>
                </c:pt>
                <c:pt idx="45">
                  <c:v>3616.46813620106</c:v>
                </c:pt>
                <c:pt idx="46">
                  <c:v>4822.80719819196</c:v>
                </c:pt>
                <c:pt idx="47">
                  <c:v>5329.3577486671</c:v>
                </c:pt>
                <c:pt idx="48">
                  <c:v>816.911965034833</c:v>
                </c:pt>
                <c:pt idx="49">
                  <c:v>1591.77118378006</c:v>
                </c:pt>
                <c:pt idx="50">
                  <c:v>2182.11804016466</c:v>
                </c:pt>
                <c:pt idx="51">
                  <c:v>2238.89401367581</c:v>
                </c:pt>
                <c:pt idx="52">
                  <c:v>692.759901720693</c:v>
                </c:pt>
                <c:pt idx="53">
                  <c:v>974.396328242241</c:v>
                </c:pt>
                <c:pt idx="54">
                  <c:v>1042.83304175221</c:v>
                </c:pt>
                <c:pt idx="55">
                  <c:v>1284.39245543827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M5P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Sheet2!$I$2:$I$57</c:f>
              <c:numCache>
                <c:formatCode>General</c:formatCode>
                <c:ptCount val="56"/>
                <c:pt idx="0">
                  <c:v>4083.744</c:v>
                </c:pt>
                <c:pt idx="1">
                  <c:v>5028.255</c:v>
                </c:pt>
                <c:pt idx="2">
                  <c:v>5947.359</c:v>
                </c:pt>
                <c:pt idx="3">
                  <c:v>663.655</c:v>
                </c:pt>
                <c:pt idx="4">
                  <c:v>1616.619</c:v>
                </c:pt>
                <c:pt idx="5">
                  <c:v>2977.995</c:v>
                </c:pt>
                <c:pt idx="6">
                  <c:v>5494.926</c:v>
                </c:pt>
                <c:pt idx="7">
                  <c:v>8157.115</c:v>
                </c:pt>
                <c:pt idx="8">
                  <c:v>9818.192</c:v>
                </c:pt>
                <c:pt idx="9">
                  <c:v>1457.916</c:v>
                </c:pt>
                <c:pt idx="10">
                  <c:v>2219.308</c:v>
                </c:pt>
                <c:pt idx="11">
                  <c:v>4439.768</c:v>
                </c:pt>
                <c:pt idx="12">
                  <c:v>5903.659</c:v>
                </c:pt>
                <c:pt idx="13">
                  <c:v>5578.187</c:v>
                </c:pt>
                <c:pt idx="14">
                  <c:v>8500.85</c:v>
                </c:pt>
                <c:pt idx="15">
                  <c:v>9485.595</c:v>
                </c:pt>
                <c:pt idx="16">
                  <c:v>10340.006</c:v>
                </c:pt>
                <c:pt idx="17">
                  <c:v>2217.677</c:v>
                </c:pt>
                <c:pt idx="18">
                  <c:v>4678.681</c:v>
                </c:pt>
                <c:pt idx="19">
                  <c:v>5166.645</c:v>
                </c:pt>
                <c:pt idx="20">
                  <c:v>6874.518</c:v>
                </c:pt>
                <c:pt idx="21">
                  <c:v>1946.354</c:v>
                </c:pt>
                <c:pt idx="22">
                  <c:v>2474.69</c:v>
                </c:pt>
                <c:pt idx="23">
                  <c:v>2885.618</c:v>
                </c:pt>
                <c:pt idx="24">
                  <c:v>-130.933</c:v>
                </c:pt>
                <c:pt idx="25">
                  <c:v>45.179</c:v>
                </c:pt>
                <c:pt idx="26">
                  <c:v>573.515</c:v>
                </c:pt>
                <c:pt idx="27">
                  <c:v>690.923</c:v>
                </c:pt>
                <c:pt idx="28">
                  <c:v>3191.964</c:v>
                </c:pt>
                <c:pt idx="29">
                  <c:v>4896.954</c:v>
                </c:pt>
                <c:pt idx="30">
                  <c:v>5816.059</c:v>
                </c:pt>
                <c:pt idx="31">
                  <c:v>1208.206</c:v>
                </c:pt>
                <c:pt idx="32">
                  <c:v>1752.756</c:v>
                </c:pt>
                <c:pt idx="33">
                  <c:v>3114.133</c:v>
                </c:pt>
                <c:pt idx="34">
                  <c:v>6832.227</c:v>
                </c:pt>
                <c:pt idx="35">
                  <c:v>8792.898</c:v>
                </c:pt>
                <c:pt idx="36">
                  <c:v>9134.663</c:v>
                </c:pt>
                <c:pt idx="37">
                  <c:v>1204.119</c:v>
                </c:pt>
                <c:pt idx="38">
                  <c:v>2473.105</c:v>
                </c:pt>
                <c:pt idx="39">
                  <c:v>4683.749</c:v>
                </c:pt>
                <c:pt idx="40">
                  <c:v>5415.695</c:v>
                </c:pt>
                <c:pt idx="41">
                  <c:v>6581.162</c:v>
                </c:pt>
                <c:pt idx="42">
                  <c:v>8323.474</c:v>
                </c:pt>
                <c:pt idx="43">
                  <c:v>9656.477</c:v>
                </c:pt>
                <c:pt idx="44">
                  <c:v>9998.242</c:v>
                </c:pt>
                <c:pt idx="45">
                  <c:v>2725.272</c:v>
                </c:pt>
                <c:pt idx="46">
                  <c:v>4922.663</c:v>
                </c:pt>
                <c:pt idx="47">
                  <c:v>5898.59</c:v>
                </c:pt>
                <c:pt idx="48">
                  <c:v>1828.946</c:v>
                </c:pt>
                <c:pt idx="49">
                  <c:v>2122.466</c:v>
                </c:pt>
                <c:pt idx="50">
                  <c:v>2592.098</c:v>
                </c:pt>
                <c:pt idx="51">
                  <c:v>2650.802</c:v>
                </c:pt>
                <c:pt idx="52">
                  <c:v>-72.229</c:v>
                </c:pt>
                <c:pt idx="53">
                  <c:v>279.995</c:v>
                </c:pt>
                <c:pt idx="54">
                  <c:v>397.403</c:v>
                </c:pt>
                <c:pt idx="55">
                  <c:v>925.739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Sheet2!$J$1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Sheet2!$J$2:$J$57</c:f>
              <c:numCache>
                <c:formatCode>General</c:formatCode>
                <c:ptCount val="56"/>
                <c:pt idx="0">
                  <c:v>4198.843</c:v>
                </c:pt>
                <c:pt idx="1">
                  <c:v>5541.423</c:v>
                </c:pt>
                <c:pt idx="2">
                  <c:v>5482.86</c:v>
                </c:pt>
                <c:pt idx="3">
                  <c:v>995.224</c:v>
                </c:pt>
                <c:pt idx="4">
                  <c:v>1694.618</c:v>
                </c:pt>
                <c:pt idx="5">
                  <c:v>3082.936</c:v>
                </c:pt>
                <c:pt idx="6">
                  <c:v>4478.333</c:v>
                </c:pt>
                <c:pt idx="7">
                  <c:v>8404.95</c:v>
                </c:pt>
                <c:pt idx="8">
                  <c:v>9682.471</c:v>
                </c:pt>
                <c:pt idx="9">
                  <c:v>1242.233</c:v>
                </c:pt>
                <c:pt idx="10">
                  <c:v>1550.135</c:v>
                </c:pt>
                <c:pt idx="11">
                  <c:v>4881.984</c:v>
                </c:pt>
                <c:pt idx="12">
                  <c:v>6357.364</c:v>
                </c:pt>
                <c:pt idx="13">
                  <c:v>4591.635</c:v>
                </c:pt>
                <c:pt idx="14">
                  <c:v>9286.392</c:v>
                </c:pt>
                <c:pt idx="15">
                  <c:v>9754.347</c:v>
                </c:pt>
                <c:pt idx="16">
                  <c:v>10066.605</c:v>
                </c:pt>
                <c:pt idx="17">
                  <c:v>1480.584</c:v>
                </c:pt>
                <c:pt idx="18">
                  <c:v>5131.119</c:v>
                </c:pt>
                <c:pt idx="19">
                  <c:v>5832.738</c:v>
                </c:pt>
                <c:pt idx="20">
                  <c:v>6750.165</c:v>
                </c:pt>
                <c:pt idx="21">
                  <c:v>2220.681</c:v>
                </c:pt>
                <c:pt idx="22">
                  <c:v>2203.811</c:v>
                </c:pt>
                <c:pt idx="23">
                  <c:v>2323.622</c:v>
                </c:pt>
                <c:pt idx="24">
                  <c:v>631.05</c:v>
                </c:pt>
                <c:pt idx="25">
                  <c:v>633.329</c:v>
                </c:pt>
                <c:pt idx="26">
                  <c:v>901.384</c:v>
                </c:pt>
                <c:pt idx="27">
                  <c:v>902.417</c:v>
                </c:pt>
                <c:pt idx="28">
                  <c:v>2626.346</c:v>
                </c:pt>
                <c:pt idx="29">
                  <c:v>5420.134</c:v>
                </c:pt>
                <c:pt idx="30">
                  <c:v>5511.182</c:v>
                </c:pt>
                <c:pt idx="31">
                  <c:v>1174.556</c:v>
                </c:pt>
                <c:pt idx="32">
                  <c:v>2235.621</c:v>
                </c:pt>
                <c:pt idx="33">
                  <c:v>3119.552</c:v>
                </c:pt>
                <c:pt idx="34">
                  <c:v>6546.963</c:v>
                </c:pt>
                <c:pt idx="35">
                  <c:v>9451.765</c:v>
                </c:pt>
                <c:pt idx="36">
                  <c:v>9417.021</c:v>
                </c:pt>
                <c:pt idx="37">
                  <c:v>1246.655</c:v>
                </c:pt>
                <c:pt idx="38">
                  <c:v>2506.941</c:v>
                </c:pt>
                <c:pt idx="39">
                  <c:v>5387.23</c:v>
                </c:pt>
                <c:pt idx="40">
                  <c:v>5877.35</c:v>
                </c:pt>
                <c:pt idx="41">
                  <c:v>6246.954</c:v>
                </c:pt>
                <c:pt idx="42">
                  <c:v>8710.879</c:v>
                </c:pt>
                <c:pt idx="43">
                  <c:v>9751.109</c:v>
                </c:pt>
                <c:pt idx="44">
                  <c:v>9932.25</c:v>
                </c:pt>
                <c:pt idx="45">
                  <c:v>2643.385</c:v>
                </c:pt>
                <c:pt idx="46">
                  <c:v>5660.438</c:v>
                </c:pt>
                <c:pt idx="47">
                  <c:v>6684.256</c:v>
                </c:pt>
                <c:pt idx="48">
                  <c:v>1924.718</c:v>
                </c:pt>
                <c:pt idx="49">
                  <c:v>2159.69</c:v>
                </c:pt>
                <c:pt idx="50">
                  <c:v>2486.316</c:v>
                </c:pt>
                <c:pt idx="51">
                  <c:v>2625.346</c:v>
                </c:pt>
                <c:pt idx="52">
                  <c:v>645.12</c:v>
                </c:pt>
                <c:pt idx="53">
                  <c:v>909.234</c:v>
                </c:pt>
                <c:pt idx="54">
                  <c:v>726.321</c:v>
                </c:pt>
                <c:pt idx="55">
                  <c:v>1160.29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Sheet2!$K$1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Sheet2!$K$2:$K$57</c:f>
              <c:numCache>
                <c:formatCode>General</c:formatCode>
                <c:ptCount val="56"/>
                <c:pt idx="0">
                  <c:v>4858</c:v>
                </c:pt>
                <c:pt idx="1">
                  <c:v>5510</c:v>
                </c:pt>
                <c:pt idx="2">
                  <c:v>5770.4</c:v>
                </c:pt>
                <c:pt idx="3">
                  <c:v>995.25</c:v>
                </c:pt>
                <c:pt idx="4">
                  <c:v>1220</c:v>
                </c:pt>
                <c:pt idx="5">
                  <c:v>3286.75</c:v>
                </c:pt>
                <c:pt idx="6">
                  <c:v>4205</c:v>
                </c:pt>
                <c:pt idx="7">
                  <c:v>8808.333</c:v>
                </c:pt>
                <c:pt idx="8">
                  <c:v>9849.5</c:v>
                </c:pt>
                <c:pt idx="9">
                  <c:v>1007.5</c:v>
                </c:pt>
                <c:pt idx="10">
                  <c:v>1007.5</c:v>
                </c:pt>
                <c:pt idx="11">
                  <c:v>4348</c:v>
                </c:pt>
                <c:pt idx="12">
                  <c:v>6379.8</c:v>
                </c:pt>
                <c:pt idx="13">
                  <c:v>4505</c:v>
                </c:pt>
                <c:pt idx="14">
                  <c:v>9902</c:v>
                </c:pt>
                <c:pt idx="15">
                  <c:v>9902</c:v>
                </c:pt>
                <c:pt idx="16">
                  <c:v>10150.667</c:v>
                </c:pt>
                <c:pt idx="17">
                  <c:v>1475</c:v>
                </c:pt>
                <c:pt idx="18">
                  <c:v>4648</c:v>
                </c:pt>
                <c:pt idx="19">
                  <c:v>5621</c:v>
                </c:pt>
                <c:pt idx="20">
                  <c:v>6675.5</c:v>
                </c:pt>
                <c:pt idx="21">
                  <c:v>2150.556</c:v>
                </c:pt>
                <c:pt idx="22">
                  <c:v>2150.556</c:v>
                </c:pt>
                <c:pt idx="23">
                  <c:v>2389.833</c:v>
                </c:pt>
                <c:pt idx="24">
                  <c:v>576.333</c:v>
                </c:pt>
                <c:pt idx="25">
                  <c:v>576.333</c:v>
                </c:pt>
                <c:pt idx="26">
                  <c:v>760.6</c:v>
                </c:pt>
                <c:pt idx="27">
                  <c:v>760.6</c:v>
                </c:pt>
                <c:pt idx="28">
                  <c:v>2405</c:v>
                </c:pt>
                <c:pt idx="29">
                  <c:v>5510</c:v>
                </c:pt>
                <c:pt idx="30">
                  <c:v>5770.4</c:v>
                </c:pt>
                <c:pt idx="31">
                  <c:v>995.25</c:v>
                </c:pt>
                <c:pt idx="32">
                  <c:v>2235.333</c:v>
                </c:pt>
                <c:pt idx="33">
                  <c:v>3286.75</c:v>
                </c:pt>
                <c:pt idx="34">
                  <c:v>7422</c:v>
                </c:pt>
                <c:pt idx="35">
                  <c:v>9631</c:v>
                </c:pt>
                <c:pt idx="36">
                  <c:v>9631</c:v>
                </c:pt>
                <c:pt idx="37">
                  <c:v>1007.5</c:v>
                </c:pt>
                <c:pt idx="38">
                  <c:v>2220</c:v>
                </c:pt>
                <c:pt idx="39">
                  <c:v>5315.5</c:v>
                </c:pt>
                <c:pt idx="40">
                  <c:v>6379.8</c:v>
                </c:pt>
                <c:pt idx="41">
                  <c:v>6602</c:v>
                </c:pt>
                <c:pt idx="42">
                  <c:v>9074</c:v>
                </c:pt>
                <c:pt idx="43">
                  <c:v>9902</c:v>
                </c:pt>
                <c:pt idx="44">
                  <c:v>10150.667</c:v>
                </c:pt>
                <c:pt idx="45">
                  <c:v>2520</c:v>
                </c:pt>
                <c:pt idx="46">
                  <c:v>5621</c:v>
                </c:pt>
                <c:pt idx="47">
                  <c:v>6675.5</c:v>
                </c:pt>
                <c:pt idx="48">
                  <c:v>2150.556</c:v>
                </c:pt>
                <c:pt idx="49">
                  <c:v>2150.556</c:v>
                </c:pt>
                <c:pt idx="50">
                  <c:v>5658.5</c:v>
                </c:pt>
                <c:pt idx="51">
                  <c:v>5658.5</c:v>
                </c:pt>
                <c:pt idx="52">
                  <c:v>576.333</c:v>
                </c:pt>
                <c:pt idx="53">
                  <c:v>576.333</c:v>
                </c:pt>
                <c:pt idx="54">
                  <c:v>576.333</c:v>
                </c:pt>
                <c:pt idx="55">
                  <c:v>760.6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Sheet2!$L$1</c:f>
              <c:strCache>
                <c:ptCount val="1"/>
                <c:pt idx="0">
                  <c:v>REP Tree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Sheet2!$L$2:$L$57</c:f>
              <c:numCache>
                <c:formatCode>General</c:formatCode>
                <c:ptCount val="56"/>
                <c:pt idx="0">
                  <c:v>3118</c:v>
                </c:pt>
                <c:pt idx="1">
                  <c:v>5477.545</c:v>
                </c:pt>
                <c:pt idx="2">
                  <c:v>5477.545</c:v>
                </c:pt>
                <c:pt idx="3">
                  <c:v>1040.2</c:v>
                </c:pt>
                <c:pt idx="4">
                  <c:v>1040.2</c:v>
                </c:pt>
                <c:pt idx="5">
                  <c:v>3040.667</c:v>
                </c:pt>
                <c:pt idx="6">
                  <c:v>5040.2</c:v>
                </c:pt>
                <c:pt idx="7">
                  <c:v>8914.6</c:v>
                </c:pt>
                <c:pt idx="8">
                  <c:v>9853.824</c:v>
                </c:pt>
                <c:pt idx="9">
                  <c:v>1206.833</c:v>
                </c:pt>
                <c:pt idx="10">
                  <c:v>1206.833</c:v>
                </c:pt>
                <c:pt idx="11">
                  <c:v>4498</c:v>
                </c:pt>
                <c:pt idx="12">
                  <c:v>6456.8</c:v>
                </c:pt>
                <c:pt idx="13">
                  <c:v>5040.2</c:v>
                </c:pt>
                <c:pt idx="14">
                  <c:v>8914.6</c:v>
                </c:pt>
                <c:pt idx="15">
                  <c:v>9853.824</c:v>
                </c:pt>
                <c:pt idx="16">
                  <c:v>9853.824</c:v>
                </c:pt>
                <c:pt idx="17">
                  <c:v>1206.833</c:v>
                </c:pt>
                <c:pt idx="18">
                  <c:v>4498</c:v>
                </c:pt>
                <c:pt idx="19">
                  <c:v>5417.333</c:v>
                </c:pt>
                <c:pt idx="20">
                  <c:v>6456.8</c:v>
                </c:pt>
                <c:pt idx="21">
                  <c:v>2141.5</c:v>
                </c:pt>
                <c:pt idx="22">
                  <c:v>2366</c:v>
                </c:pt>
                <c:pt idx="23">
                  <c:v>2366</c:v>
                </c:pt>
                <c:pt idx="24">
                  <c:v>540.333</c:v>
                </c:pt>
                <c:pt idx="25">
                  <c:v>540.333</c:v>
                </c:pt>
                <c:pt idx="26">
                  <c:v>718.5</c:v>
                </c:pt>
                <c:pt idx="27">
                  <c:v>718.5</c:v>
                </c:pt>
                <c:pt idx="28">
                  <c:v>3118</c:v>
                </c:pt>
                <c:pt idx="29">
                  <c:v>5477.545</c:v>
                </c:pt>
                <c:pt idx="30">
                  <c:v>5477.545</c:v>
                </c:pt>
                <c:pt idx="31">
                  <c:v>1040.2</c:v>
                </c:pt>
                <c:pt idx="32">
                  <c:v>2218.2</c:v>
                </c:pt>
                <c:pt idx="33">
                  <c:v>3040.667</c:v>
                </c:pt>
                <c:pt idx="34">
                  <c:v>7248.667</c:v>
                </c:pt>
                <c:pt idx="35">
                  <c:v>9853.824</c:v>
                </c:pt>
                <c:pt idx="36">
                  <c:v>9853.824</c:v>
                </c:pt>
                <c:pt idx="37">
                  <c:v>1206.833</c:v>
                </c:pt>
                <c:pt idx="38">
                  <c:v>2814.5</c:v>
                </c:pt>
                <c:pt idx="39">
                  <c:v>5417.333</c:v>
                </c:pt>
                <c:pt idx="40">
                  <c:v>6456.8</c:v>
                </c:pt>
                <c:pt idx="41">
                  <c:v>5040.2</c:v>
                </c:pt>
                <c:pt idx="42">
                  <c:v>8914.6</c:v>
                </c:pt>
                <c:pt idx="43">
                  <c:v>9853.824</c:v>
                </c:pt>
                <c:pt idx="44">
                  <c:v>9853.824</c:v>
                </c:pt>
                <c:pt idx="45">
                  <c:v>2814.5</c:v>
                </c:pt>
                <c:pt idx="46">
                  <c:v>5417.333</c:v>
                </c:pt>
                <c:pt idx="47">
                  <c:v>6456.8</c:v>
                </c:pt>
                <c:pt idx="48">
                  <c:v>2141.5</c:v>
                </c:pt>
                <c:pt idx="49">
                  <c:v>2141.5</c:v>
                </c:pt>
                <c:pt idx="50">
                  <c:v>2366</c:v>
                </c:pt>
                <c:pt idx="51">
                  <c:v>2366</c:v>
                </c:pt>
                <c:pt idx="52">
                  <c:v>540.333</c:v>
                </c:pt>
                <c:pt idx="53">
                  <c:v>718.5</c:v>
                </c:pt>
                <c:pt idx="54">
                  <c:v>718.5</c:v>
                </c:pt>
                <c:pt idx="55">
                  <c:v>718.5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Sheet2!$M$1</c:f>
              <c:strCache>
                <c:ptCount val="1"/>
                <c:pt idx="0">
                  <c:v>GP_PUK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Sheet2!$M$2:$M$57</c:f>
              <c:numCache>
                <c:formatCode>General</c:formatCode>
                <c:ptCount val="56"/>
                <c:pt idx="0">
                  <c:v>4116.903</c:v>
                </c:pt>
                <c:pt idx="1">
                  <c:v>5605.271</c:v>
                </c:pt>
                <c:pt idx="2">
                  <c:v>5817.523</c:v>
                </c:pt>
                <c:pt idx="3">
                  <c:v>1076.169</c:v>
                </c:pt>
                <c:pt idx="4">
                  <c:v>1567.063</c:v>
                </c:pt>
                <c:pt idx="5">
                  <c:v>3147.444</c:v>
                </c:pt>
                <c:pt idx="6">
                  <c:v>3650.419</c:v>
                </c:pt>
                <c:pt idx="7">
                  <c:v>9068.397</c:v>
                </c:pt>
                <c:pt idx="8">
                  <c:v>9786.966</c:v>
                </c:pt>
                <c:pt idx="9">
                  <c:v>935.723</c:v>
                </c:pt>
                <c:pt idx="10">
                  <c:v>1332.426</c:v>
                </c:pt>
                <c:pt idx="11">
                  <c:v>4760.77</c:v>
                </c:pt>
                <c:pt idx="12">
                  <c:v>6225.816</c:v>
                </c:pt>
                <c:pt idx="13">
                  <c:v>4078.861</c:v>
                </c:pt>
                <c:pt idx="14">
                  <c:v>9790.853</c:v>
                </c:pt>
                <c:pt idx="15">
                  <c:v>9908.005</c:v>
                </c:pt>
                <c:pt idx="16">
                  <c:v>10171.906</c:v>
                </c:pt>
                <c:pt idx="17">
                  <c:v>1335.567</c:v>
                </c:pt>
                <c:pt idx="18">
                  <c:v>5058.15</c:v>
                </c:pt>
                <c:pt idx="19">
                  <c:v>5555.89</c:v>
                </c:pt>
                <c:pt idx="20">
                  <c:v>6779.913</c:v>
                </c:pt>
                <c:pt idx="21">
                  <c:v>2102.651</c:v>
                </c:pt>
                <c:pt idx="22">
                  <c:v>2203.819</c:v>
                </c:pt>
                <c:pt idx="23">
                  <c:v>2383.52</c:v>
                </c:pt>
                <c:pt idx="24">
                  <c:v>461.406</c:v>
                </c:pt>
                <c:pt idx="25">
                  <c:v>553.415</c:v>
                </c:pt>
                <c:pt idx="26">
                  <c:v>692.225</c:v>
                </c:pt>
                <c:pt idx="27">
                  <c:v>737.655</c:v>
                </c:pt>
                <c:pt idx="28">
                  <c:v>2474.972</c:v>
                </c:pt>
                <c:pt idx="29">
                  <c:v>5514.553</c:v>
                </c:pt>
                <c:pt idx="30">
                  <c:v>5782.156</c:v>
                </c:pt>
                <c:pt idx="31">
                  <c:v>996.451</c:v>
                </c:pt>
                <c:pt idx="32">
                  <c:v>1797.316</c:v>
                </c:pt>
                <c:pt idx="33">
                  <c:v>3273.015</c:v>
                </c:pt>
                <c:pt idx="34">
                  <c:v>6813.335</c:v>
                </c:pt>
                <c:pt idx="35">
                  <c:v>9456.761</c:v>
                </c:pt>
                <c:pt idx="36">
                  <c:v>9588.878</c:v>
                </c:pt>
                <c:pt idx="37">
                  <c:v>997.154</c:v>
                </c:pt>
                <c:pt idx="38">
                  <c:v>1713.611</c:v>
                </c:pt>
                <c:pt idx="39">
                  <c:v>5059.269</c:v>
                </c:pt>
                <c:pt idx="40">
                  <c:v>5804.54</c:v>
                </c:pt>
                <c:pt idx="41">
                  <c:v>6095.658</c:v>
                </c:pt>
                <c:pt idx="42">
                  <c:v>9562.24</c:v>
                </c:pt>
                <c:pt idx="43">
                  <c:v>9950.597</c:v>
                </c:pt>
                <c:pt idx="44">
                  <c:v>10077.82</c:v>
                </c:pt>
                <c:pt idx="45">
                  <c:v>1947.731</c:v>
                </c:pt>
                <c:pt idx="46">
                  <c:v>5332.387</c:v>
                </c:pt>
                <c:pt idx="47">
                  <c:v>6233.653</c:v>
                </c:pt>
                <c:pt idx="48">
                  <c:v>2136.65</c:v>
                </c:pt>
                <c:pt idx="49">
                  <c:v>2126.465</c:v>
                </c:pt>
                <c:pt idx="50">
                  <c:v>2246.841</c:v>
                </c:pt>
                <c:pt idx="51">
                  <c:v>2272.993</c:v>
                </c:pt>
                <c:pt idx="52">
                  <c:v>484.892</c:v>
                </c:pt>
                <c:pt idx="53">
                  <c:v>627.59</c:v>
                </c:pt>
                <c:pt idx="54">
                  <c:v>640.341</c:v>
                </c:pt>
                <c:pt idx="55">
                  <c:v>785.535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Sheet2!$N$1</c:f>
              <c:strCache>
                <c:ptCount val="1"/>
                <c:pt idx="0">
                  <c:v>GP_RBF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Sheet2!$F$2:$F$57</c:f>
              <c:numCache>
                <c:formatCode>General</c:formatCode>
                <c:ptCount val="56"/>
                <c:pt idx="0">
                  <c:v>4731</c:v>
                </c:pt>
                <c:pt idx="1">
                  <c:v>5584</c:v>
                </c:pt>
                <c:pt idx="2">
                  <c:v>5845</c:v>
                </c:pt>
                <c:pt idx="3">
                  <c:v>932</c:v>
                </c:pt>
                <c:pt idx="4">
                  <c:v>1670</c:v>
                </c:pt>
                <c:pt idx="5">
                  <c:v>3211</c:v>
                </c:pt>
                <c:pt idx="6">
                  <c:v>3321</c:v>
                </c:pt>
                <c:pt idx="7">
                  <c:v>8865</c:v>
                </c:pt>
                <c:pt idx="8">
                  <c:v>9758</c:v>
                </c:pt>
                <c:pt idx="9">
                  <c:v>944</c:v>
                </c:pt>
                <c:pt idx="10">
                  <c:v>1175</c:v>
                </c:pt>
                <c:pt idx="11">
                  <c:v>4767</c:v>
                </c:pt>
                <c:pt idx="12">
                  <c:v>6311</c:v>
                </c:pt>
                <c:pt idx="13">
                  <c:v>3621</c:v>
                </c:pt>
                <c:pt idx="14">
                  <c:v>9184</c:v>
                </c:pt>
                <c:pt idx="15">
                  <c:v>9975</c:v>
                </c:pt>
                <c:pt idx="16">
                  <c:v>10147</c:v>
                </c:pt>
                <c:pt idx="17">
                  <c:v>1356</c:v>
                </c:pt>
                <c:pt idx="18">
                  <c:v>4876</c:v>
                </c:pt>
                <c:pt idx="19">
                  <c:v>5610</c:v>
                </c:pt>
                <c:pt idx="20">
                  <c:v>6734</c:v>
                </c:pt>
                <c:pt idx="21">
                  <c:v>2110</c:v>
                </c:pt>
                <c:pt idx="22">
                  <c:v>2208</c:v>
                </c:pt>
                <c:pt idx="23">
                  <c:v>2390</c:v>
                </c:pt>
                <c:pt idx="24">
                  <c:v>490</c:v>
                </c:pt>
                <c:pt idx="25">
                  <c:v>588</c:v>
                </c:pt>
                <c:pt idx="26">
                  <c:v>670</c:v>
                </c:pt>
                <c:pt idx="27">
                  <c:v>750</c:v>
                </c:pt>
                <c:pt idx="28">
                  <c:v>2321</c:v>
                </c:pt>
                <c:pt idx="29">
                  <c:v>5540</c:v>
                </c:pt>
                <c:pt idx="30">
                  <c:v>5841</c:v>
                </c:pt>
                <c:pt idx="31">
                  <c:v>1020</c:v>
                </c:pt>
                <c:pt idx="32">
                  <c:v>2134</c:v>
                </c:pt>
                <c:pt idx="33">
                  <c:v>3247</c:v>
                </c:pt>
                <c:pt idx="34">
                  <c:v>6302</c:v>
                </c:pt>
                <c:pt idx="35">
                  <c:v>9550</c:v>
                </c:pt>
                <c:pt idx="36">
                  <c:v>9642</c:v>
                </c:pt>
                <c:pt idx="37">
                  <c:v>932</c:v>
                </c:pt>
                <c:pt idx="38">
                  <c:v>2075</c:v>
                </c:pt>
                <c:pt idx="39">
                  <c:v>5275</c:v>
                </c:pt>
                <c:pt idx="40">
                  <c:v>5767</c:v>
                </c:pt>
                <c:pt idx="41">
                  <c:v>5896</c:v>
                </c:pt>
                <c:pt idx="42">
                  <c:v>9165</c:v>
                </c:pt>
                <c:pt idx="43">
                  <c:v>9987</c:v>
                </c:pt>
                <c:pt idx="44">
                  <c:v>10058</c:v>
                </c:pt>
                <c:pt idx="45">
                  <c:v>2375</c:v>
                </c:pt>
                <c:pt idx="46">
                  <c:v>5575</c:v>
                </c:pt>
                <c:pt idx="47">
                  <c:v>6565</c:v>
                </c:pt>
                <c:pt idx="48">
                  <c:v>2037</c:v>
                </c:pt>
                <c:pt idx="49">
                  <c:v>2126</c:v>
                </c:pt>
                <c:pt idx="50">
                  <c:v>2245</c:v>
                </c:pt>
                <c:pt idx="51">
                  <c:v>2272</c:v>
                </c:pt>
                <c:pt idx="52">
                  <c:v>510</c:v>
                </c:pt>
                <c:pt idx="53">
                  <c:v>637</c:v>
                </c:pt>
                <c:pt idx="54">
                  <c:v>646</c:v>
                </c:pt>
                <c:pt idx="55">
                  <c:v>780</c:v>
                </c:pt>
              </c:numCache>
            </c:numRef>
          </c:xVal>
          <c:yVal>
            <c:numRef>
              <c:f>Sheet2!$N$2:$N$57</c:f>
              <c:numCache>
                <c:formatCode>General</c:formatCode>
                <c:ptCount val="56"/>
                <c:pt idx="0">
                  <c:v>4207.634</c:v>
                </c:pt>
                <c:pt idx="1">
                  <c:v>5495.978</c:v>
                </c:pt>
                <c:pt idx="2">
                  <c:v>5838.348</c:v>
                </c:pt>
                <c:pt idx="3">
                  <c:v>774.405</c:v>
                </c:pt>
                <c:pt idx="4">
                  <c:v>1542.733</c:v>
                </c:pt>
                <c:pt idx="5">
                  <c:v>3020.613</c:v>
                </c:pt>
                <c:pt idx="6">
                  <c:v>3855.779</c:v>
                </c:pt>
                <c:pt idx="7">
                  <c:v>8749.407</c:v>
                </c:pt>
                <c:pt idx="8">
                  <c:v>9910.702</c:v>
                </c:pt>
                <c:pt idx="9">
                  <c:v>380.91</c:v>
                </c:pt>
                <c:pt idx="10">
                  <c:v>1599.495</c:v>
                </c:pt>
                <c:pt idx="11">
                  <c:v>4584.76</c:v>
                </c:pt>
                <c:pt idx="12">
                  <c:v>6189.157</c:v>
                </c:pt>
                <c:pt idx="13">
                  <c:v>4181.627</c:v>
                </c:pt>
                <c:pt idx="14">
                  <c:v>9417.042</c:v>
                </c:pt>
                <c:pt idx="15">
                  <c:v>10306.492</c:v>
                </c:pt>
                <c:pt idx="16">
                  <c:v>10122.364</c:v>
                </c:pt>
                <c:pt idx="17">
                  <c:v>1691.892</c:v>
                </c:pt>
                <c:pt idx="18">
                  <c:v>4745.788</c:v>
                </c:pt>
                <c:pt idx="19">
                  <c:v>5434.95</c:v>
                </c:pt>
                <c:pt idx="20">
                  <c:v>6820.012</c:v>
                </c:pt>
                <c:pt idx="21">
                  <c:v>2077.801</c:v>
                </c:pt>
                <c:pt idx="22">
                  <c:v>2221.214</c:v>
                </c:pt>
                <c:pt idx="23">
                  <c:v>2371.272</c:v>
                </c:pt>
                <c:pt idx="24">
                  <c:v>497.585</c:v>
                </c:pt>
                <c:pt idx="25">
                  <c:v>531.219</c:v>
                </c:pt>
                <c:pt idx="26">
                  <c:v>697.596</c:v>
                </c:pt>
                <c:pt idx="27">
                  <c:v>726.738</c:v>
                </c:pt>
                <c:pt idx="28">
                  <c:v>2164.256</c:v>
                </c:pt>
                <c:pt idx="29">
                  <c:v>5353.439</c:v>
                </c:pt>
                <c:pt idx="30">
                  <c:v>5840.803</c:v>
                </c:pt>
                <c:pt idx="31">
                  <c:v>1127.175</c:v>
                </c:pt>
                <c:pt idx="32">
                  <c:v>1697.753</c:v>
                </c:pt>
                <c:pt idx="33">
                  <c:v>3130.395</c:v>
                </c:pt>
                <c:pt idx="34">
                  <c:v>6704.867</c:v>
                </c:pt>
                <c:pt idx="35">
                  <c:v>9605.022</c:v>
                </c:pt>
                <c:pt idx="36">
                  <c:v>9877.365</c:v>
                </c:pt>
                <c:pt idx="37">
                  <c:v>28.291</c:v>
                </c:pt>
                <c:pt idx="38">
                  <c:v>2039.331</c:v>
                </c:pt>
                <c:pt idx="39">
                  <c:v>4939.542</c:v>
                </c:pt>
                <c:pt idx="40">
                  <c:v>5801.466</c:v>
                </c:pt>
                <c:pt idx="41">
                  <c:v>6340.834</c:v>
                </c:pt>
                <c:pt idx="42">
                  <c:v>9056.656</c:v>
                </c:pt>
                <c:pt idx="43">
                  <c:v>10331.104</c:v>
                </c:pt>
                <c:pt idx="44">
                  <c:v>10275.006</c:v>
                </c:pt>
                <c:pt idx="45">
                  <c:v>2401.976</c:v>
                </c:pt>
                <c:pt idx="46">
                  <c:v>5102.596</c:v>
                </c:pt>
                <c:pt idx="47">
                  <c:v>6246.463</c:v>
                </c:pt>
                <c:pt idx="48">
                  <c:v>2046.663</c:v>
                </c:pt>
                <c:pt idx="49">
                  <c:v>2131.302</c:v>
                </c:pt>
                <c:pt idx="50">
                  <c:v>2250.275</c:v>
                </c:pt>
                <c:pt idx="51">
                  <c:v>2267.329</c:v>
                </c:pt>
                <c:pt idx="52">
                  <c:v>503.924</c:v>
                </c:pt>
                <c:pt idx="53">
                  <c:v>611.068</c:v>
                </c:pt>
                <c:pt idx="54">
                  <c:v>649.445</c:v>
                </c:pt>
                <c:pt idx="55">
                  <c:v>805.657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29440"/>
        <c:axId val="159289728"/>
      </c:scatterChart>
      <c:valAx>
        <c:axId val="139229440"/>
        <c:scaling>
          <c:orientation val="minMax"/>
          <c:max val="12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9289728"/>
        <c:crosses val="autoZero"/>
        <c:crossBetween val="midCat"/>
        <c:majorUnit val="2000"/>
      </c:valAx>
      <c:valAx>
        <c:axId val="159289728"/>
        <c:scaling>
          <c:orientation val="minMax"/>
          <c:max val="12000"/>
          <c:min val="-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1894094488188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229440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36051619989017"/>
          <c:y val="0.0684007707129094"/>
          <c:w val="0.498215266337177"/>
          <c:h val="0.2061657032755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64095652861142"/>
          <c:y val="0.0514005540974045"/>
          <c:w val="0.857964402627168"/>
          <c:h val="0.802854695246428"/>
        </c:manualLayout>
      </c:layout>
      <c:scatterChart>
        <c:scatterStyle val="smooth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Observed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Sheet4!$B$2:$B$178</c:f>
              <c:numCache>
                <c:formatCode>General</c:formatCode>
                <c:ptCount val="177"/>
                <c:pt idx="0">
                  <c:v>2405</c:v>
                </c:pt>
                <c:pt idx="1">
                  <c:v>3201</c:v>
                </c:pt>
                <c:pt idx="2">
                  <c:v>3260</c:v>
                </c:pt>
                <c:pt idx="3">
                  <c:v>3302</c:v>
                </c:pt>
                <c:pt idx="4">
                  <c:v>3422</c:v>
                </c:pt>
                <c:pt idx="5">
                  <c:v>4825</c:v>
                </c:pt>
                <c:pt idx="6">
                  <c:v>4865</c:v>
                </c:pt>
                <c:pt idx="7">
                  <c:v>4884</c:v>
                </c:pt>
                <c:pt idx="8">
                  <c:v>5510</c:v>
                </c:pt>
                <c:pt idx="9">
                  <c:v>5642</c:v>
                </c:pt>
                <c:pt idx="10">
                  <c:v>5675</c:v>
                </c:pt>
                <c:pt idx="11">
                  <c:v>5685</c:v>
                </c:pt>
                <c:pt idx="12">
                  <c:v>5698</c:v>
                </c:pt>
                <c:pt idx="13">
                  <c:v>5758</c:v>
                </c:pt>
                <c:pt idx="14">
                  <c:v>5852</c:v>
                </c:pt>
                <c:pt idx="15">
                  <c:v>5859</c:v>
                </c:pt>
                <c:pt idx="16">
                  <c:v>944</c:v>
                </c:pt>
                <c:pt idx="17">
                  <c:v>975</c:v>
                </c:pt>
                <c:pt idx="18">
                  <c:v>987</c:v>
                </c:pt>
                <c:pt idx="19">
                  <c:v>1075</c:v>
                </c:pt>
                <c:pt idx="20">
                  <c:v>1220</c:v>
                </c:pt>
                <c:pt idx="21">
                  <c:v>2140</c:v>
                </c:pt>
                <c:pt idx="22">
                  <c:v>2156</c:v>
                </c:pt>
                <c:pt idx="23">
                  <c:v>2210</c:v>
                </c:pt>
                <c:pt idx="24">
                  <c:v>2275</c:v>
                </c:pt>
                <c:pt idx="25">
                  <c:v>2310</c:v>
                </c:pt>
                <c:pt idx="26">
                  <c:v>2321</c:v>
                </c:pt>
                <c:pt idx="27">
                  <c:v>2776</c:v>
                </c:pt>
                <c:pt idx="28">
                  <c:v>3202</c:v>
                </c:pt>
                <c:pt idx="29">
                  <c:v>3288</c:v>
                </c:pt>
                <c:pt idx="30">
                  <c:v>3334</c:v>
                </c:pt>
                <c:pt idx="31">
                  <c:v>3323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8731</c:v>
                </c:pt>
                <c:pt idx="37">
                  <c:v>8810</c:v>
                </c:pt>
                <c:pt idx="38">
                  <c:v>8884</c:v>
                </c:pt>
                <c:pt idx="39">
                  <c:v>9510</c:v>
                </c:pt>
                <c:pt idx="40">
                  <c:v>9584</c:v>
                </c:pt>
                <c:pt idx="41">
                  <c:v>9675</c:v>
                </c:pt>
                <c:pt idx="42">
                  <c:v>9688</c:v>
                </c:pt>
                <c:pt idx="43">
                  <c:v>9698</c:v>
                </c:pt>
                <c:pt idx="44">
                  <c:v>9841</c:v>
                </c:pt>
                <c:pt idx="45">
                  <c:v>9846</c:v>
                </c:pt>
                <c:pt idx="46">
                  <c:v>9852</c:v>
                </c:pt>
                <c:pt idx="47">
                  <c:v>9859</c:v>
                </c:pt>
                <c:pt idx="48">
                  <c:v>975</c:v>
                </c:pt>
                <c:pt idx="49">
                  <c:v>1040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4340</c:v>
                </c:pt>
                <c:pt idx="54">
                  <c:v>4356</c:v>
                </c:pt>
                <c:pt idx="55">
                  <c:v>5310</c:v>
                </c:pt>
                <c:pt idx="56">
                  <c:v>5321</c:v>
                </c:pt>
                <c:pt idx="57">
                  <c:v>6265</c:v>
                </c:pt>
                <c:pt idx="58">
                  <c:v>6347</c:v>
                </c:pt>
                <c:pt idx="59">
                  <c:v>6397</c:v>
                </c:pt>
                <c:pt idx="60">
                  <c:v>6434</c:v>
                </c:pt>
                <c:pt idx="61">
                  <c:v>6456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9031</c:v>
                </c:pt>
                <c:pt idx="67">
                  <c:v>9117</c:v>
                </c:pt>
                <c:pt idx="68">
                  <c:v>9810</c:v>
                </c:pt>
                <c:pt idx="69">
                  <c:v>9876</c:v>
                </c:pt>
                <c:pt idx="70">
                  <c:v>9884</c:v>
                </c:pt>
                <c:pt idx="71">
                  <c:v>9942</c:v>
                </c:pt>
                <c:pt idx="72">
                  <c:v>9998</c:v>
                </c:pt>
                <c:pt idx="73">
                  <c:v>10141</c:v>
                </c:pt>
                <c:pt idx="74">
                  <c:v>10152</c:v>
                </c:pt>
                <c:pt idx="75">
                  <c:v>10159</c:v>
                </c:pt>
                <c:pt idx="76">
                  <c:v>1232</c:v>
                </c:pt>
                <c:pt idx="77">
                  <c:v>1244</c:v>
                </c:pt>
                <c:pt idx="78">
                  <c:v>1275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4640</c:v>
                </c:pt>
                <c:pt idx="84">
                  <c:v>4656</c:v>
                </c:pt>
                <c:pt idx="85">
                  <c:v>5621</c:v>
                </c:pt>
                <c:pt idx="86">
                  <c:v>5967</c:v>
                </c:pt>
                <c:pt idx="87">
                  <c:v>6611</c:v>
                </c:pt>
                <c:pt idx="88">
                  <c:v>6647</c:v>
                </c:pt>
                <c:pt idx="89">
                  <c:v>6688</c:v>
                </c:pt>
                <c:pt idx="90">
                  <c:v>6756</c:v>
                </c:pt>
                <c:pt idx="91">
                  <c:v>2097</c:v>
                </c:pt>
                <c:pt idx="92">
                  <c:v>2112</c:v>
                </c:pt>
                <c:pt idx="93">
                  <c:v>2113</c:v>
                </c:pt>
                <c:pt idx="94">
                  <c:v>2142</c:v>
                </c:pt>
                <c:pt idx="95">
                  <c:v>2149</c:v>
                </c:pt>
                <c:pt idx="96">
                  <c:v>2159</c:v>
                </c:pt>
                <c:pt idx="97">
                  <c:v>2178</c:v>
                </c:pt>
                <c:pt idx="98">
                  <c:v>2182</c:v>
                </c:pt>
                <c:pt idx="99">
                  <c:v>2223</c:v>
                </c:pt>
                <c:pt idx="100">
                  <c:v>2298</c:v>
                </c:pt>
                <c:pt idx="101">
                  <c:v>2312</c:v>
                </c:pt>
                <c:pt idx="102">
                  <c:v>2375</c:v>
                </c:pt>
                <c:pt idx="103">
                  <c:v>2420</c:v>
                </c:pt>
                <c:pt idx="104">
                  <c:v>2450</c:v>
                </c:pt>
                <c:pt idx="105">
                  <c:v>2484</c:v>
                </c:pt>
                <c:pt idx="106">
                  <c:v>450</c:v>
                </c:pt>
                <c:pt idx="107">
                  <c:v>470</c:v>
                </c:pt>
                <c:pt idx="108">
                  <c:v>522</c:v>
                </c:pt>
                <c:pt idx="109">
                  <c:v>590</c:v>
                </c:pt>
                <c:pt idx="110">
                  <c:v>598</c:v>
                </c:pt>
                <c:pt idx="111">
                  <c:v>612</c:v>
                </c:pt>
                <c:pt idx="112">
                  <c:v>642</c:v>
                </c:pt>
                <c:pt idx="113">
                  <c:v>649</c:v>
                </c:pt>
                <c:pt idx="114">
                  <c:v>654</c:v>
                </c:pt>
                <c:pt idx="115">
                  <c:v>710</c:v>
                </c:pt>
                <c:pt idx="116">
                  <c:v>756</c:v>
                </c:pt>
                <c:pt idx="117">
                  <c:v>776</c:v>
                </c:pt>
                <c:pt idx="118">
                  <c:v>778</c:v>
                </c:pt>
                <c:pt idx="119">
                  <c:v>783</c:v>
                </c:pt>
                <c:pt idx="121">
                  <c:v>4731</c:v>
                </c:pt>
                <c:pt idx="122">
                  <c:v>5584</c:v>
                </c:pt>
                <c:pt idx="123">
                  <c:v>5845</c:v>
                </c:pt>
                <c:pt idx="124">
                  <c:v>932</c:v>
                </c:pt>
                <c:pt idx="125">
                  <c:v>1670</c:v>
                </c:pt>
                <c:pt idx="126">
                  <c:v>3211</c:v>
                </c:pt>
                <c:pt idx="127">
                  <c:v>3321</c:v>
                </c:pt>
                <c:pt idx="128">
                  <c:v>8865</c:v>
                </c:pt>
                <c:pt idx="129">
                  <c:v>9758</c:v>
                </c:pt>
                <c:pt idx="130">
                  <c:v>944</c:v>
                </c:pt>
                <c:pt idx="131">
                  <c:v>1175</c:v>
                </c:pt>
                <c:pt idx="132">
                  <c:v>4767</c:v>
                </c:pt>
                <c:pt idx="133">
                  <c:v>6311</c:v>
                </c:pt>
                <c:pt idx="134">
                  <c:v>3621</c:v>
                </c:pt>
                <c:pt idx="135">
                  <c:v>9184</c:v>
                </c:pt>
                <c:pt idx="136">
                  <c:v>9975</c:v>
                </c:pt>
                <c:pt idx="137">
                  <c:v>10147</c:v>
                </c:pt>
                <c:pt idx="138">
                  <c:v>1356</c:v>
                </c:pt>
                <c:pt idx="139">
                  <c:v>4876</c:v>
                </c:pt>
                <c:pt idx="140">
                  <c:v>5610</c:v>
                </c:pt>
                <c:pt idx="141">
                  <c:v>6734</c:v>
                </c:pt>
                <c:pt idx="142">
                  <c:v>2110</c:v>
                </c:pt>
                <c:pt idx="143">
                  <c:v>2208</c:v>
                </c:pt>
                <c:pt idx="144">
                  <c:v>2390</c:v>
                </c:pt>
                <c:pt idx="145">
                  <c:v>490</c:v>
                </c:pt>
                <c:pt idx="146">
                  <c:v>588</c:v>
                </c:pt>
                <c:pt idx="147">
                  <c:v>670</c:v>
                </c:pt>
                <c:pt idx="148">
                  <c:v>750</c:v>
                </c:pt>
                <c:pt idx="149">
                  <c:v>2321</c:v>
                </c:pt>
                <c:pt idx="150">
                  <c:v>5540</c:v>
                </c:pt>
                <c:pt idx="151">
                  <c:v>5841</c:v>
                </c:pt>
                <c:pt idx="152">
                  <c:v>1020</c:v>
                </c:pt>
                <c:pt idx="153">
                  <c:v>2134</c:v>
                </c:pt>
                <c:pt idx="154">
                  <c:v>3247</c:v>
                </c:pt>
                <c:pt idx="155">
                  <c:v>6302</c:v>
                </c:pt>
                <c:pt idx="156">
                  <c:v>9550</c:v>
                </c:pt>
                <c:pt idx="157">
                  <c:v>9642</c:v>
                </c:pt>
                <c:pt idx="158">
                  <c:v>932</c:v>
                </c:pt>
                <c:pt idx="159">
                  <c:v>2075</c:v>
                </c:pt>
                <c:pt idx="160">
                  <c:v>5275</c:v>
                </c:pt>
                <c:pt idx="161">
                  <c:v>5767</c:v>
                </c:pt>
                <c:pt idx="162">
                  <c:v>5896</c:v>
                </c:pt>
                <c:pt idx="163">
                  <c:v>9165</c:v>
                </c:pt>
                <c:pt idx="164">
                  <c:v>9987</c:v>
                </c:pt>
                <c:pt idx="165">
                  <c:v>10058</c:v>
                </c:pt>
                <c:pt idx="166">
                  <c:v>2375</c:v>
                </c:pt>
                <c:pt idx="167">
                  <c:v>5575</c:v>
                </c:pt>
                <c:pt idx="168">
                  <c:v>6565</c:v>
                </c:pt>
                <c:pt idx="169">
                  <c:v>2037</c:v>
                </c:pt>
                <c:pt idx="170">
                  <c:v>2126</c:v>
                </c:pt>
                <c:pt idx="171">
                  <c:v>2245</c:v>
                </c:pt>
                <c:pt idx="172">
                  <c:v>2272</c:v>
                </c:pt>
                <c:pt idx="173">
                  <c:v>510</c:v>
                </c:pt>
                <c:pt idx="174">
                  <c:v>637</c:v>
                </c:pt>
                <c:pt idx="175">
                  <c:v>646</c:v>
                </c:pt>
                <c:pt idx="176">
                  <c:v>780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LR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Sheet4!$C$2:$C$178</c:f>
              <c:numCache>
                <c:formatCode>General</c:formatCode>
                <c:ptCount val="177"/>
                <c:pt idx="0">
                  <c:v>3341.50128947756</c:v>
                </c:pt>
                <c:pt idx="1">
                  <c:v>3521.42898378559</c:v>
                </c:pt>
                <c:pt idx="2">
                  <c:v>3701.35667809362</c:v>
                </c:pt>
                <c:pt idx="3">
                  <c:v>3881.28437240166</c:v>
                </c:pt>
                <c:pt idx="4">
                  <c:v>4061.21206670969</c:v>
                </c:pt>
                <c:pt idx="5">
                  <c:v>4421.06745532576</c:v>
                </c:pt>
                <c:pt idx="6">
                  <c:v>4600.99514963379</c:v>
                </c:pt>
                <c:pt idx="7">
                  <c:v>4780.92284394183</c:v>
                </c:pt>
                <c:pt idx="8">
                  <c:v>4960.85053824986</c:v>
                </c:pt>
                <c:pt idx="9">
                  <c:v>5500.63362117396</c:v>
                </c:pt>
                <c:pt idx="10">
                  <c:v>5680.561315482</c:v>
                </c:pt>
                <c:pt idx="11">
                  <c:v>5860.48900979003</c:v>
                </c:pt>
                <c:pt idx="12">
                  <c:v>6040.41670409806</c:v>
                </c:pt>
                <c:pt idx="13">
                  <c:v>6220.3443984061</c:v>
                </c:pt>
                <c:pt idx="14">
                  <c:v>6760.1274813302</c:v>
                </c:pt>
                <c:pt idx="15">
                  <c:v>6940.05517563823</c:v>
                </c:pt>
                <c:pt idx="16">
                  <c:v>71.0871333042905</c:v>
                </c:pt>
                <c:pt idx="17">
                  <c:v>251.014827612324</c:v>
                </c:pt>
                <c:pt idx="18">
                  <c:v>430.942521920358</c:v>
                </c:pt>
                <c:pt idx="19">
                  <c:v>790.797910536426</c:v>
                </c:pt>
                <c:pt idx="20">
                  <c:v>970.72560484446</c:v>
                </c:pt>
                <c:pt idx="21">
                  <c:v>1510.50868776856</c:v>
                </c:pt>
                <c:pt idx="22">
                  <c:v>1690.43638207659</c:v>
                </c:pt>
                <c:pt idx="23">
                  <c:v>1870.36407638463</c:v>
                </c:pt>
                <c:pt idx="24">
                  <c:v>2050.29177069266</c:v>
                </c:pt>
                <c:pt idx="25">
                  <c:v>2230.2194650007</c:v>
                </c:pt>
                <c:pt idx="26">
                  <c:v>2410.14715930873</c:v>
                </c:pt>
                <c:pt idx="27">
                  <c:v>2590.07485361676</c:v>
                </c:pt>
                <c:pt idx="28">
                  <c:v>2770.0025479248</c:v>
                </c:pt>
                <c:pt idx="29">
                  <c:v>3309.7856308489</c:v>
                </c:pt>
                <c:pt idx="30">
                  <c:v>3489.71332515693</c:v>
                </c:pt>
                <c:pt idx="31">
                  <c:v>3669.64101946497</c:v>
                </c:pt>
                <c:pt idx="32">
                  <c:v>6238.91673912344</c:v>
                </c:pt>
                <c:pt idx="33">
                  <c:v>6418.84443343147</c:v>
                </c:pt>
                <c:pt idx="34">
                  <c:v>6598.7721277395</c:v>
                </c:pt>
                <c:pt idx="35">
                  <c:v>6958.62751635557</c:v>
                </c:pt>
                <c:pt idx="36">
                  <c:v>7138.55521066361</c:v>
                </c:pt>
                <c:pt idx="37">
                  <c:v>7318.48290497164</c:v>
                </c:pt>
                <c:pt idx="38">
                  <c:v>7678.33829358771</c:v>
                </c:pt>
                <c:pt idx="39">
                  <c:v>7858.26598789574</c:v>
                </c:pt>
                <c:pt idx="40">
                  <c:v>8218.12137651181</c:v>
                </c:pt>
                <c:pt idx="41">
                  <c:v>8577.97676512788</c:v>
                </c:pt>
                <c:pt idx="42">
                  <c:v>8757.90445943591</c:v>
                </c:pt>
                <c:pt idx="43">
                  <c:v>8937.83215374394</c:v>
                </c:pt>
                <c:pt idx="44">
                  <c:v>9297.68754236001</c:v>
                </c:pt>
                <c:pt idx="45">
                  <c:v>9477.61523666805</c:v>
                </c:pt>
                <c:pt idx="46">
                  <c:v>9657.54293097608</c:v>
                </c:pt>
                <c:pt idx="47">
                  <c:v>9837.47062528411</c:v>
                </c:pt>
                <c:pt idx="48">
                  <c:v>3148.4302772582</c:v>
                </c:pt>
                <c:pt idx="49">
                  <c:v>3328.35797156624</c:v>
                </c:pt>
                <c:pt idx="50">
                  <c:v>3868.14105449034</c:v>
                </c:pt>
                <c:pt idx="51">
                  <c:v>4048.06874879837</c:v>
                </c:pt>
                <c:pt idx="52">
                  <c:v>4227.99644310641</c:v>
                </c:pt>
                <c:pt idx="53">
                  <c:v>4407.92413741444</c:v>
                </c:pt>
                <c:pt idx="54">
                  <c:v>4587.85183172247</c:v>
                </c:pt>
                <c:pt idx="55">
                  <c:v>5127.63491464658</c:v>
                </c:pt>
                <c:pt idx="56">
                  <c:v>5307.56260895461</c:v>
                </c:pt>
                <c:pt idx="57">
                  <c:v>5667.41799757068</c:v>
                </c:pt>
                <c:pt idx="58">
                  <c:v>6027.27338618675</c:v>
                </c:pt>
                <c:pt idx="59">
                  <c:v>6207.20108049478</c:v>
                </c:pt>
                <c:pt idx="60">
                  <c:v>6387.12877480281</c:v>
                </c:pt>
                <c:pt idx="61">
                  <c:v>6567.05646911085</c:v>
                </c:pt>
                <c:pt idx="62">
                  <c:v>6376.95138855331</c:v>
                </c:pt>
                <c:pt idx="63">
                  <c:v>6556.87908286134</c:v>
                </c:pt>
                <c:pt idx="64">
                  <c:v>6916.73447147741</c:v>
                </c:pt>
                <c:pt idx="65">
                  <c:v>7096.66216578544</c:v>
                </c:pt>
                <c:pt idx="66">
                  <c:v>7276.58986009348</c:v>
                </c:pt>
                <c:pt idx="67">
                  <c:v>7456.51755440151</c:v>
                </c:pt>
                <c:pt idx="68">
                  <c:v>7996.30063732561</c:v>
                </c:pt>
                <c:pt idx="69">
                  <c:v>8176.22833163365</c:v>
                </c:pt>
                <c:pt idx="70">
                  <c:v>8356.15602594168</c:v>
                </c:pt>
                <c:pt idx="71">
                  <c:v>8536.08372024971</c:v>
                </c:pt>
                <c:pt idx="72">
                  <c:v>9075.86680317381</c:v>
                </c:pt>
                <c:pt idx="73">
                  <c:v>9435.72219178988</c:v>
                </c:pt>
                <c:pt idx="74">
                  <c:v>9795.57758040595</c:v>
                </c:pt>
                <c:pt idx="75">
                  <c:v>9975.50527471398</c:v>
                </c:pt>
                <c:pt idx="76">
                  <c:v>2926.60953807201</c:v>
                </c:pt>
                <c:pt idx="77">
                  <c:v>3106.53723238004</c:v>
                </c:pt>
                <c:pt idx="78">
                  <c:v>3286.46492668807</c:v>
                </c:pt>
                <c:pt idx="79">
                  <c:v>3646.32031530414</c:v>
                </c:pt>
                <c:pt idx="80">
                  <c:v>4006.17570392021</c:v>
                </c:pt>
                <c:pt idx="81">
                  <c:v>4186.10339822824</c:v>
                </c:pt>
                <c:pt idx="82">
                  <c:v>4366.03109253628</c:v>
                </c:pt>
                <c:pt idx="83">
                  <c:v>4545.95878684431</c:v>
                </c:pt>
                <c:pt idx="84">
                  <c:v>4725.88648115234</c:v>
                </c:pt>
                <c:pt idx="85">
                  <c:v>5445.59725838448</c:v>
                </c:pt>
                <c:pt idx="86">
                  <c:v>5625.52495269251</c:v>
                </c:pt>
                <c:pt idx="87">
                  <c:v>5985.38034130858</c:v>
                </c:pt>
                <c:pt idx="88">
                  <c:v>6165.30803561662</c:v>
                </c:pt>
                <c:pt idx="89">
                  <c:v>6345.23572992465</c:v>
                </c:pt>
                <c:pt idx="90">
                  <c:v>6705.09111854072</c:v>
                </c:pt>
                <c:pt idx="91">
                  <c:v>1251.40575300331</c:v>
                </c:pt>
                <c:pt idx="92">
                  <c:v>1611.26114161937</c:v>
                </c:pt>
                <c:pt idx="93">
                  <c:v>1791.18883592741</c:v>
                </c:pt>
                <c:pt idx="94">
                  <c:v>2151.04422454348</c:v>
                </c:pt>
                <c:pt idx="95">
                  <c:v>2330.97191885151</c:v>
                </c:pt>
                <c:pt idx="96">
                  <c:v>2510.89961315954</c:v>
                </c:pt>
                <c:pt idx="97">
                  <c:v>2690.82730746758</c:v>
                </c:pt>
                <c:pt idx="98">
                  <c:v>2870.75500177561</c:v>
                </c:pt>
                <c:pt idx="99">
                  <c:v>3230.61039039168</c:v>
                </c:pt>
                <c:pt idx="100">
                  <c:v>3770.39347331578</c:v>
                </c:pt>
                <c:pt idx="101">
                  <c:v>3950.32116762381</c:v>
                </c:pt>
                <c:pt idx="102">
                  <c:v>4130.24886193185</c:v>
                </c:pt>
                <c:pt idx="103">
                  <c:v>4490.10425054792</c:v>
                </c:pt>
                <c:pt idx="104">
                  <c:v>4670.03194485595</c:v>
                </c:pt>
                <c:pt idx="105">
                  <c:v>4849.95963916398</c:v>
                </c:pt>
                <c:pt idx="106">
                  <c:v>-2198.93609747799</c:v>
                </c:pt>
                <c:pt idx="107">
                  <c:v>-2019.00840316996</c:v>
                </c:pt>
                <c:pt idx="108">
                  <c:v>-1479.22532024586</c:v>
                </c:pt>
                <c:pt idx="109">
                  <c:v>-1119.36993162979</c:v>
                </c:pt>
                <c:pt idx="110">
                  <c:v>-939.442237321758</c:v>
                </c:pt>
                <c:pt idx="111">
                  <c:v>-759.514543013724</c:v>
                </c:pt>
                <c:pt idx="112">
                  <c:v>-399.659154397656</c:v>
                </c:pt>
                <c:pt idx="113">
                  <c:v>-39.8037657815876</c:v>
                </c:pt>
                <c:pt idx="114">
                  <c:v>140.123928526446</c:v>
                </c:pt>
                <c:pt idx="115">
                  <c:v>499.979317142514</c:v>
                </c:pt>
                <c:pt idx="116">
                  <c:v>859.834705758581</c:v>
                </c:pt>
                <c:pt idx="117">
                  <c:v>1039.76240006661</c:v>
                </c:pt>
                <c:pt idx="118">
                  <c:v>1219.69009437465</c:v>
                </c:pt>
                <c:pt idx="119">
                  <c:v>1579.54548299072</c:v>
                </c:pt>
                <c:pt idx="121">
                  <c:v>4240.737</c:v>
                </c:pt>
                <c:pt idx="122">
                  <c:v>5320.3032</c:v>
                </c:pt>
                <c:pt idx="123">
                  <c:v>6579.7971</c:v>
                </c:pt>
                <c:pt idx="124">
                  <c:v>-109.2435</c:v>
                </c:pt>
                <c:pt idx="125">
                  <c:v>1150.2504</c:v>
                </c:pt>
                <c:pt idx="126">
                  <c:v>2949.5274</c:v>
                </c:pt>
                <c:pt idx="127">
                  <c:v>6058.58625</c:v>
                </c:pt>
                <c:pt idx="128">
                  <c:v>7498.00785</c:v>
                </c:pt>
                <c:pt idx="129">
                  <c:v>9117.35715</c:v>
                </c:pt>
                <c:pt idx="130">
                  <c:v>2968.09965</c:v>
                </c:pt>
                <c:pt idx="131">
                  <c:v>3507.88275</c:v>
                </c:pt>
                <c:pt idx="132">
                  <c:v>4767.37665</c:v>
                </c:pt>
                <c:pt idx="133">
                  <c:v>5846.94285</c:v>
                </c:pt>
                <c:pt idx="134">
                  <c:v>6196.62105</c:v>
                </c:pt>
                <c:pt idx="135">
                  <c:v>7815.97035</c:v>
                </c:pt>
                <c:pt idx="136">
                  <c:v>8715.60885</c:v>
                </c:pt>
                <c:pt idx="137">
                  <c:v>9615.24735</c:v>
                </c:pt>
                <c:pt idx="138">
                  <c:v>3465.98985</c:v>
                </c:pt>
                <c:pt idx="139">
                  <c:v>4905.41145</c:v>
                </c:pt>
                <c:pt idx="140">
                  <c:v>5265.26685</c:v>
                </c:pt>
                <c:pt idx="141">
                  <c:v>6524.76075</c:v>
                </c:pt>
                <c:pt idx="142">
                  <c:v>1431.0262</c:v>
                </c:pt>
                <c:pt idx="143">
                  <c:v>3050.3755</c:v>
                </c:pt>
                <c:pt idx="144">
                  <c:v>4309.8694</c:v>
                </c:pt>
                <c:pt idx="145">
                  <c:v>-1839.3881</c:v>
                </c:pt>
                <c:pt idx="146">
                  <c:v>-1299.605</c:v>
                </c:pt>
                <c:pt idx="147">
                  <c:v>319.744299999999</c:v>
                </c:pt>
                <c:pt idx="148">
                  <c:v>679.599699999999</c:v>
                </c:pt>
                <c:pt idx="149">
                  <c:v>3161.1708</c:v>
                </c:pt>
                <c:pt idx="150">
                  <c:v>5140.3755</c:v>
                </c:pt>
                <c:pt idx="151">
                  <c:v>6399.8694</c:v>
                </c:pt>
                <c:pt idx="152">
                  <c:v>610.4673</c:v>
                </c:pt>
                <c:pt idx="153">
                  <c:v>1330.1781</c:v>
                </c:pt>
                <c:pt idx="154">
                  <c:v>3129.4551</c:v>
                </c:pt>
                <c:pt idx="155">
                  <c:v>6778.29705</c:v>
                </c:pt>
                <c:pt idx="156">
                  <c:v>8037.79095</c:v>
                </c:pt>
                <c:pt idx="157">
                  <c:v>8397.64635</c:v>
                </c:pt>
                <c:pt idx="158">
                  <c:v>2788.17195</c:v>
                </c:pt>
                <c:pt idx="159">
                  <c:v>3687.81045</c:v>
                </c:pt>
                <c:pt idx="160">
                  <c:v>4947.30435</c:v>
                </c:pt>
                <c:pt idx="161">
                  <c:v>5487.08745</c:v>
                </c:pt>
                <c:pt idx="162">
                  <c:v>6736.40415</c:v>
                </c:pt>
                <c:pt idx="163">
                  <c:v>7636.04265</c:v>
                </c:pt>
                <c:pt idx="164">
                  <c:v>8895.53655</c:v>
                </c:pt>
                <c:pt idx="165">
                  <c:v>9255.39195</c:v>
                </c:pt>
                <c:pt idx="166">
                  <c:v>3825.84525</c:v>
                </c:pt>
                <c:pt idx="167">
                  <c:v>5085.33915</c:v>
                </c:pt>
                <c:pt idx="168">
                  <c:v>5805.04995</c:v>
                </c:pt>
                <c:pt idx="169">
                  <c:v>1071.1708</c:v>
                </c:pt>
                <c:pt idx="170">
                  <c:v>1970.8093</c:v>
                </c:pt>
                <c:pt idx="171">
                  <c:v>3410.2309</c:v>
                </c:pt>
                <c:pt idx="172">
                  <c:v>3590.1586</c:v>
                </c:pt>
                <c:pt idx="173">
                  <c:v>-1659.4604</c:v>
                </c:pt>
                <c:pt idx="174">
                  <c:v>-579.8942</c:v>
                </c:pt>
                <c:pt idx="175">
                  <c:v>-220.038800000001</c:v>
                </c:pt>
                <c:pt idx="176">
                  <c:v>1399.3105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NLR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Sheet4!$D$2:$D$178</c:f>
              <c:numCache>
                <c:formatCode>General</c:formatCode>
                <c:ptCount val="177"/>
                <c:pt idx="0">
                  <c:v>2543.92065185175</c:v>
                </c:pt>
                <c:pt idx="1">
                  <c:v>2958.4365695964</c:v>
                </c:pt>
                <c:pt idx="2">
                  <c:v>3292.88755680551</c:v>
                </c:pt>
                <c:pt idx="3">
                  <c:v>3578.13282256534</c:v>
                </c:pt>
                <c:pt idx="4">
                  <c:v>3829.44293507394</c:v>
                </c:pt>
                <c:pt idx="5">
                  <c:v>4262.36111329642</c:v>
                </c:pt>
                <c:pt idx="6">
                  <c:v>4453.42664758774</c:v>
                </c:pt>
                <c:pt idx="7">
                  <c:v>4631.58669648217</c:v>
                </c:pt>
                <c:pt idx="8">
                  <c:v>4798.88427421617</c:v>
                </c:pt>
                <c:pt idx="9">
                  <c:v>5249.68450086011</c:v>
                </c:pt>
                <c:pt idx="10">
                  <c:v>5386.27470481637</c:v>
                </c:pt>
                <c:pt idx="11">
                  <c:v>5517.2616576578</c:v>
                </c:pt>
                <c:pt idx="12">
                  <c:v>5643.20508587503</c:v>
                </c:pt>
                <c:pt idx="13">
                  <c:v>5764.579639036</c:v>
                </c:pt>
                <c:pt idx="14">
                  <c:v>6105.08767043615</c:v>
                </c:pt>
                <c:pt idx="15">
                  <c:v>6211.74496995946</c:v>
                </c:pt>
                <c:pt idx="16">
                  <c:v>1287.55077870771</c:v>
                </c:pt>
                <c:pt idx="17">
                  <c:v>1497.34910409587</c:v>
                </c:pt>
                <c:pt idx="18">
                  <c:v>1666.62428518582</c:v>
                </c:pt>
                <c:pt idx="19">
                  <c:v>1938.19026135196</c:v>
                </c:pt>
                <c:pt idx="20">
                  <c:v>2052.67724768879</c:v>
                </c:pt>
                <c:pt idx="21">
                  <c:v>2344.1780911551</c:v>
                </c:pt>
                <c:pt idx="22">
                  <c:v>2428.85216553338</c:v>
                </c:pt>
                <c:pt idx="23">
                  <c:v>2508.8214090647</c:v>
                </c:pt>
                <c:pt idx="24">
                  <c:v>2584.70905642568</c:v>
                </c:pt>
                <c:pt idx="25">
                  <c:v>2657.01501425844</c:v>
                </c:pt>
                <c:pt idx="26">
                  <c:v>2726.14721118436</c:v>
                </c:pt>
                <c:pt idx="27">
                  <c:v>2792.44344295117</c:v>
                </c:pt>
                <c:pt idx="28">
                  <c:v>2856.18700309569</c:v>
                </c:pt>
                <c:pt idx="29">
                  <c:v>3034.33790738792</c:v>
                </c:pt>
                <c:pt idx="30">
                  <c:v>3089.95894916261</c:v>
                </c:pt>
                <c:pt idx="31">
                  <c:v>3143.94124965462</c:v>
                </c:pt>
                <c:pt idx="32">
                  <c:v>4546.06496479233</c:v>
                </c:pt>
                <c:pt idx="33">
                  <c:v>5286.81774323926</c:v>
                </c:pt>
                <c:pt idx="34">
                  <c:v>5884.49201200421</c:v>
                </c:pt>
                <c:pt idx="35">
                  <c:v>6843.33308475602</c:v>
                </c:pt>
                <c:pt idx="36">
                  <c:v>7247.56201779501</c:v>
                </c:pt>
                <c:pt idx="37">
                  <c:v>7616.9712724119</c:v>
                </c:pt>
                <c:pt idx="38">
                  <c:v>8276.78882081063</c:v>
                </c:pt>
                <c:pt idx="39">
                  <c:v>8575.75477176415</c:v>
                </c:pt>
                <c:pt idx="40">
                  <c:v>9126.05194289249</c:v>
                </c:pt>
                <c:pt idx="41">
                  <c:v>9625.43965688905</c:v>
                </c:pt>
                <c:pt idx="42">
                  <c:v>9859.51739698047</c:v>
                </c:pt>
                <c:pt idx="43">
                  <c:v>10084.5822024206</c:v>
                </c:pt>
                <c:pt idx="44">
                  <c:v>10510.9439972029</c:v>
                </c:pt>
                <c:pt idx="45">
                  <c:v>10713.5947414537</c:v>
                </c:pt>
                <c:pt idx="46">
                  <c:v>10909.9806809434</c:v>
                </c:pt>
                <c:pt idx="47">
                  <c:v>11100.5805773078</c:v>
                </c:pt>
                <c:pt idx="48">
                  <c:v>2675.80920703581</c:v>
                </c:pt>
                <c:pt idx="49">
                  <c:v>2978.30919641311</c:v>
                </c:pt>
                <c:pt idx="50">
                  <c:v>3668.1977926284</c:v>
                </c:pt>
                <c:pt idx="51">
                  <c:v>3855.16634964592</c:v>
                </c:pt>
                <c:pt idx="52">
                  <c:v>4027.97888213624</c:v>
                </c:pt>
                <c:pt idx="53">
                  <c:v>4189.11882478598</c:v>
                </c:pt>
                <c:pt idx="54">
                  <c:v>4340.43401721429</c:v>
                </c:pt>
                <c:pt idx="55">
                  <c:v>4748.16809182122</c:v>
                </c:pt>
                <c:pt idx="56">
                  <c:v>4871.70946806473</c:v>
                </c:pt>
                <c:pt idx="57">
                  <c:v>5104.09460224989</c:v>
                </c:pt>
                <c:pt idx="58">
                  <c:v>5319.8884637776</c:v>
                </c:pt>
                <c:pt idx="59">
                  <c:v>5422.45578378259</c:v>
                </c:pt>
                <c:pt idx="60">
                  <c:v>5521.8523074647</c:v>
                </c:pt>
                <c:pt idx="61">
                  <c:v>5618.32034973913</c:v>
                </c:pt>
                <c:pt idx="62">
                  <c:v>4746.70013666682</c:v>
                </c:pt>
                <c:pt idx="63">
                  <c:v>5520.14515822318</c:v>
                </c:pt>
                <c:pt idx="64">
                  <c:v>6676.43605374243</c:v>
                </c:pt>
                <c:pt idx="65">
                  <c:v>7145.35545361524</c:v>
                </c:pt>
                <c:pt idx="66">
                  <c:v>7567.424549979</c:v>
                </c:pt>
                <c:pt idx="67">
                  <c:v>7953.13724281467</c:v>
                </c:pt>
                <c:pt idx="68">
                  <c:v>8954.23551190136</c:v>
                </c:pt>
                <c:pt idx="69">
                  <c:v>9249.05108382021</c:v>
                </c:pt>
                <c:pt idx="70">
                  <c:v>9528.81939436499</c:v>
                </c:pt>
                <c:pt idx="71">
                  <c:v>9795.38340535576</c:v>
                </c:pt>
                <c:pt idx="72">
                  <c:v>10529.653247189</c:v>
                </c:pt>
                <c:pt idx="73">
                  <c:v>10974.8320128328</c:v>
                </c:pt>
                <c:pt idx="74">
                  <c:v>11391.4797061489</c:v>
                </c:pt>
                <c:pt idx="75">
                  <c:v>11590.4915023129</c:v>
                </c:pt>
                <c:pt idx="76">
                  <c:v>1856.0055124343</c:v>
                </c:pt>
                <c:pt idx="77">
                  <c:v>2402.4402855524</c:v>
                </c:pt>
                <c:pt idx="78">
                  <c:v>2793.90286480682</c:v>
                </c:pt>
                <c:pt idx="79">
                  <c:v>3379.13465725866</c:v>
                </c:pt>
                <c:pt idx="80">
                  <c:v>3830.08934065806</c:v>
                </c:pt>
                <c:pt idx="81">
                  <c:v>4025.30953263084</c:v>
                </c:pt>
                <c:pt idx="82">
                  <c:v>4205.74894076565</c:v>
                </c:pt>
                <c:pt idx="83">
                  <c:v>4374.00060318617</c:v>
                </c:pt>
                <c:pt idx="84">
                  <c:v>4531.99391171603</c:v>
                </c:pt>
                <c:pt idx="85">
                  <c:v>5086.71657289444</c:v>
                </c:pt>
                <c:pt idx="86">
                  <c:v>5210.41867506454</c:v>
                </c:pt>
                <c:pt idx="87">
                  <c:v>5443.9820455934</c:v>
                </c:pt>
                <c:pt idx="88">
                  <c:v>5554.67541569085</c:v>
                </c:pt>
                <c:pt idx="89">
                  <c:v>5661.76942241001</c:v>
                </c:pt>
                <c:pt idx="90">
                  <c:v>5866.27823809882</c:v>
                </c:pt>
                <c:pt idx="91">
                  <c:v>1057.42262153918</c:v>
                </c:pt>
                <c:pt idx="92">
                  <c:v>1368.74308175314</c:v>
                </c:pt>
                <c:pt idx="93">
                  <c:v>1487.30998614218</c:v>
                </c:pt>
                <c:pt idx="94">
                  <c:v>1685.79553701444</c:v>
                </c:pt>
                <c:pt idx="95">
                  <c:v>1771.72077245719</c:v>
                </c:pt>
                <c:pt idx="96">
                  <c:v>1851.14031646263</c:v>
                </c:pt>
                <c:pt idx="97">
                  <c:v>1925.19548238078</c:v>
                </c:pt>
                <c:pt idx="98">
                  <c:v>1994.73548281117</c:v>
                </c:pt>
                <c:pt idx="99">
                  <c:v>2122.73556240236</c:v>
                </c:pt>
                <c:pt idx="100">
                  <c:v>2293.34090334596</c:v>
                </c:pt>
                <c:pt idx="101">
                  <c:v>2345.69136873258</c:v>
                </c:pt>
                <c:pt idx="102">
                  <c:v>2396.14270576552</c:v>
                </c:pt>
                <c:pt idx="103">
                  <c:v>2492.00077987311</c:v>
                </c:pt>
                <c:pt idx="104">
                  <c:v>2537.68049113481</c:v>
                </c:pt>
                <c:pt idx="105">
                  <c:v>2582.01435869712</c:v>
                </c:pt>
                <c:pt idx="106">
                  <c:v>413.462438755946</c:v>
                </c:pt>
                <c:pt idx="107">
                  <c:v>535.191739881854</c:v>
                </c:pt>
                <c:pt idx="108">
                  <c:v>752.769992823154</c:v>
                </c:pt>
                <c:pt idx="109">
                  <c:v>853.229189693849</c:v>
                </c:pt>
                <c:pt idx="110">
                  <c:v>896.718401405081</c:v>
                </c:pt>
                <c:pt idx="111">
                  <c:v>936.914897178009</c:v>
                </c:pt>
                <c:pt idx="112">
                  <c:v>1009.59250530865</c:v>
                </c:pt>
                <c:pt idx="113">
                  <c:v>1074.37699535645</c:v>
                </c:pt>
                <c:pt idx="114">
                  <c:v>1104.43216057112</c:v>
                </c:pt>
                <c:pt idx="115">
                  <c:v>1160.72522301195</c:v>
                </c:pt>
                <c:pt idx="116">
                  <c:v>1212.75614648494</c:v>
                </c:pt>
                <c:pt idx="117">
                  <c:v>1237.41531395399</c:v>
                </c:pt>
                <c:pt idx="118">
                  <c:v>1261.27265106727</c:v>
                </c:pt>
                <c:pt idx="119">
                  <c:v>1306.8310899379</c:v>
                </c:pt>
                <c:pt idx="121">
                  <c:v>4055.64435075936</c:v>
                </c:pt>
                <c:pt idx="122">
                  <c:v>5106.82363476884</c:v>
                </c:pt>
                <c:pt idx="123">
                  <c:v>5995.19257411214</c:v>
                </c:pt>
                <c:pt idx="124">
                  <c:v>994.697498702289</c:v>
                </c:pt>
                <c:pt idx="125">
                  <c:v>2157.30249548605</c:v>
                </c:pt>
                <c:pt idx="126">
                  <c:v>2917.61812529833</c:v>
                </c:pt>
                <c:pt idx="127">
                  <c:v>3512.06299914296</c:v>
                </c:pt>
                <c:pt idx="128">
                  <c:v>7958.41129759069</c:v>
                </c:pt>
                <c:pt idx="129">
                  <c:v>10301.4822866826</c:v>
                </c:pt>
                <c:pt idx="130">
                  <c:v>2300.89310419864</c:v>
                </c:pt>
                <c:pt idx="131">
                  <c:v>3236.30421859054</c:v>
                </c:pt>
                <c:pt idx="132">
                  <c:v>4483.34153125726</c:v>
                </c:pt>
                <c:pt idx="133">
                  <c:v>5213.87391953717</c:v>
                </c:pt>
                <c:pt idx="134">
                  <c:v>3667.063723709</c:v>
                </c:pt>
                <c:pt idx="135">
                  <c:v>8642.07505417799</c:v>
                </c:pt>
                <c:pt idx="136">
                  <c:v>10050.2469913385</c:v>
                </c:pt>
                <c:pt idx="137">
                  <c:v>11186.426506726</c:v>
                </c:pt>
                <c:pt idx="138">
                  <c:v>3109.7533315378</c:v>
                </c:pt>
                <c:pt idx="139">
                  <c:v>4681.20847897189</c:v>
                </c:pt>
                <c:pt idx="140">
                  <c:v>4957.72284490318</c:v>
                </c:pt>
                <c:pt idx="141">
                  <c:v>5765.55269348073</c:v>
                </c:pt>
                <c:pt idx="142">
                  <c:v>1229.72300680954</c:v>
                </c:pt>
                <c:pt idx="143">
                  <c:v>2060.4115621828</c:v>
                </c:pt>
                <c:pt idx="144">
                  <c:v>2444.86386412245</c:v>
                </c:pt>
                <c:pt idx="145">
                  <c:v>622.397877803258</c:v>
                </c:pt>
                <c:pt idx="146">
                  <c:v>805.640783531776</c:v>
                </c:pt>
                <c:pt idx="147">
                  <c:v>1133.168099663</c:v>
                </c:pt>
                <c:pt idx="148">
                  <c:v>1187.22128625402</c:v>
                </c:pt>
                <c:pt idx="149">
                  <c:v>1965.30618530927</c:v>
                </c:pt>
                <c:pt idx="150">
                  <c:v>4956.88612819857</c:v>
                </c:pt>
                <c:pt idx="151">
                  <c:v>5881.79177201071</c:v>
                </c:pt>
                <c:pt idx="152">
                  <c:v>1810.99504760894</c:v>
                </c:pt>
                <c:pt idx="153">
                  <c:v>2254.00621039238</c:v>
                </c:pt>
                <c:pt idx="154">
                  <c:v>2976.94252795835</c:v>
                </c:pt>
                <c:pt idx="155">
                  <c:v>6394.23413312726</c:v>
                </c:pt>
                <c:pt idx="156">
                  <c:v>8858.10897657742</c:v>
                </c:pt>
                <c:pt idx="157">
                  <c:v>9381.34873357847</c:v>
                </c:pt>
                <c:pt idx="158">
                  <c:v>1777.55522607415</c:v>
                </c:pt>
                <c:pt idx="159">
                  <c:v>3463.60600352064</c:v>
                </c:pt>
                <c:pt idx="160">
                  <c:v>4618.95510657736</c:v>
                </c:pt>
                <c:pt idx="161">
                  <c:v>4990.18288676726</c:v>
                </c:pt>
                <c:pt idx="162">
                  <c:v>6144.19707019546</c:v>
                </c:pt>
                <c:pt idx="163">
                  <c:v>8309.64631752688</c:v>
                </c:pt>
                <c:pt idx="164">
                  <c:v>10294.6554741666</c:v>
                </c:pt>
                <c:pt idx="165">
                  <c:v>10756.1259587721</c:v>
                </c:pt>
                <c:pt idx="166">
                  <c:v>3616.46813620106</c:v>
                </c:pt>
                <c:pt idx="167">
                  <c:v>4822.80719819196</c:v>
                </c:pt>
                <c:pt idx="168">
                  <c:v>5329.3577486671</c:v>
                </c:pt>
                <c:pt idx="169">
                  <c:v>816.911965034833</c:v>
                </c:pt>
                <c:pt idx="170">
                  <c:v>1591.77118378006</c:v>
                </c:pt>
                <c:pt idx="171">
                  <c:v>2182.11804016466</c:v>
                </c:pt>
                <c:pt idx="172">
                  <c:v>2238.89401367581</c:v>
                </c:pt>
                <c:pt idx="173">
                  <c:v>692.759901720693</c:v>
                </c:pt>
                <c:pt idx="174">
                  <c:v>974.396328242242</c:v>
                </c:pt>
                <c:pt idx="175">
                  <c:v>1042.83304175221</c:v>
                </c:pt>
                <c:pt idx="176">
                  <c:v>1284.39245543827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M5P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Sheet4!$E$2:$E$178</c:f>
              <c:numCache>
                <c:formatCode>General</c:formatCode>
                <c:ptCount val="177"/>
                <c:pt idx="0">
                  <c:v>3340.594</c:v>
                </c:pt>
                <c:pt idx="1">
                  <c:v>3489.224</c:v>
                </c:pt>
                <c:pt idx="2">
                  <c:v>3637.854</c:v>
                </c:pt>
                <c:pt idx="3">
                  <c:v>3786.484</c:v>
                </c:pt>
                <c:pt idx="4">
                  <c:v>3935.114</c:v>
                </c:pt>
                <c:pt idx="5">
                  <c:v>4338.719</c:v>
                </c:pt>
                <c:pt idx="6">
                  <c:v>4471.687</c:v>
                </c:pt>
                <c:pt idx="7">
                  <c:v>4604.656</c:v>
                </c:pt>
                <c:pt idx="8">
                  <c:v>4765.653</c:v>
                </c:pt>
                <c:pt idx="9">
                  <c:v>5159.555</c:v>
                </c:pt>
                <c:pt idx="10">
                  <c:v>5290.856</c:v>
                </c:pt>
                <c:pt idx="11">
                  <c:v>5422.157</c:v>
                </c:pt>
                <c:pt idx="12">
                  <c:v>5553.457</c:v>
                </c:pt>
                <c:pt idx="13">
                  <c:v>5684.758</c:v>
                </c:pt>
                <c:pt idx="14">
                  <c:v>6078.66</c:v>
                </c:pt>
                <c:pt idx="15">
                  <c:v>6209.961</c:v>
                </c:pt>
                <c:pt idx="16">
                  <c:v>799.793</c:v>
                </c:pt>
                <c:pt idx="17">
                  <c:v>935.93</c:v>
                </c:pt>
                <c:pt idx="18">
                  <c:v>1072.068</c:v>
                </c:pt>
                <c:pt idx="19">
                  <c:v>1344.343</c:v>
                </c:pt>
                <c:pt idx="20">
                  <c:v>1480.481</c:v>
                </c:pt>
                <c:pt idx="21">
                  <c:v>1888.894</c:v>
                </c:pt>
                <c:pt idx="22">
                  <c:v>2025.032</c:v>
                </c:pt>
                <c:pt idx="23">
                  <c:v>2161.169</c:v>
                </c:pt>
                <c:pt idx="24">
                  <c:v>2297.307</c:v>
                </c:pt>
                <c:pt idx="25">
                  <c:v>2433.445</c:v>
                </c:pt>
                <c:pt idx="26">
                  <c:v>2569.582</c:v>
                </c:pt>
                <c:pt idx="27">
                  <c:v>2705.72</c:v>
                </c:pt>
                <c:pt idx="28">
                  <c:v>2841.858</c:v>
                </c:pt>
                <c:pt idx="29">
                  <c:v>3250.271</c:v>
                </c:pt>
                <c:pt idx="30">
                  <c:v>3386.408</c:v>
                </c:pt>
                <c:pt idx="31">
                  <c:v>3522.546</c:v>
                </c:pt>
                <c:pt idx="32">
                  <c:v>5829.252</c:v>
                </c:pt>
                <c:pt idx="33">
                  <c:v>6163.577</c:v>
                </c:pt>
                <c:pt idx="34">
                  <c:v>6497.902</c:v>
                </c:pt>
                <c:pt idx="35">
                  <c:v>7166.552</c:v>
                </c:pt>
                <c:pt idx="36">
                  <c:v>7802.363</c:v>
                </c:pt>
                <c:pt idx="37">
                  <c:v>7979.739</c:v>
                </c:pt>
                <c:pt idx="38">
                  <c:v>8334.491</c:v>
                </c:pt>
                <c:pt idx="39">
                  <c:v>8622.016</c:v>
                </c:pt>
                <c:pt idx="40">
                  <c:v>8963.78</c:v>
                </c:pt>
                <c:pt idx="41">
                  <c:v>9305.545</c:v>
                </c:pt>
                <c:pt idx="42">
                  <c:v>9476.427</c:v>
                </c:pt>
                <c:pt idx="43">
                  <c:v>9647.31</c:v>
                </c:pt>
                <c:pt idx="44">
                  <c:v>9989.074</c:v>
                </c:pt>
                <c:pt idx="45">
                  <c:v>10159.956</c:v>
                </c:pt>
                <c:pt idx="46">
                  <c:v>10330.839</c:v>
                </c:pt>
                <c:pt idx="47">
                  <c:v>10501.721</c:v>
                </c:pt>
                <c:pt idx="48">
                  <c:v>1711.714</c:v>
                </c:pt>
                <c:pt idx="49">
                  <c:v>1965.511</c:v>
                </c:pt>
                <c:pt idx="50">
                  <c:v>2816.62</c:v>
                </c:pt>
                <c:pt idx="51">
                  <c:v>3101.279</c:v>
                </c:pt>
                <c:pt idx="52">
                  <c:v>3385.939</c:v>
                </c:pt>
                <c:pt idx="53">
                  <c:v>3951.804</c:v>
                </c:pt>
                <c:pt idx="54">
                  <c:v>4195.786</c:v>
                </c:pt>
                <c:pt idx="55">
                  <c:v>4927.731</c:v>
                </c:pt>
                <c:pt idx="56">
                  <c:v>5171.713</c:v>
                </c:pt>
                <c:pt idx="57">
                  <c:v>5659.677</c:v>
                </c:pt>
                <c:pt idx="58">
                  <c:v>6147.641</c:v>
                </c:pt>
                <c:pt idx="59">
                  <c:v>6391.622</c:v>
                </c:pt>
                <c:pt idx="60">
                  <c:v>6635.604</c:v>
                </c:pt>
                <c:pt idx="61">
                  <c:v>6879.586</c:v>
                </c:pt>
                <c:pt idx="62">
                  <c:v>5912.512</c:v>
                </c:pt>
                <c:pt idx="63">
                  <c:v>6246.837</c:v>
                </c:pt>
                <c:pt idx="64">
                  <c:v>6915.487</c:v>
                </c:pt>
                <c:pt idx="65">
                  <c:v>7249.813</c:v>
                </c:pt>
                <c:pt idx="66">
                  <c:v>7968.722</c:v>
                </c:pt>
                <c:pt idx="67">
                  <c:v>8146.098</c:v>
                </c:pt>
                <c:pt idx="68">
                  <c:v>8802.066</c:v>
                </c:pt>
                <c:pt idx="69">
                  <c:v>8972.948</c:v>
                </c:pt>
                <c:pt idx="70">
                  <c:v>9143.83</c:v>
                </c:pt>
                <c:pt idx="71">
                  <c:v>9314.713</c:v>
                </c:pt>
                <c:pt idx="72">
                  <c:v>9827.359</c:v>
                </c:pt>
                <c:pt idx="73">
                  <c:v>10169.124</c:v>
                </c:pt>
                <c:pt idx="74">
                  <c:v>10510.889</c:v>
                </c:pt>
                <c:pt idx="75">
                  <c:v>10681.771</c:v>
                </c:pt>
                <c:pt idx="76">
                  <c:v>1456.285</c:v>
                </c:pt>
                <c:pt idx="77">
                  <c:v>1710.083</c:v>
                </c:pt>
                <c:pt idx="78">
                  <c:v>1963.88</c:v>
                </c:pt>
                <c:pt idx="79">
                  <c:v>2471.474</c:v>
                </c:pt>
                <c:pt idx="80">
                  <c:v>3048.834</c:v>
                </c:pt>
                <c:pt idx="81">
                  <c:v>3333.494</c:v>
                </c:pt>
                <c:pt idx="82">
                  <c:v>3618.153</c:v>
                </c:pt>
                <c:pt idx="83">
                  <c:v>4190.717</c:v>
                </c:pt>
                <c:pt idx="84">
                  <c:v>4434.699</c:v>
                </c:pt>
                <c:pt idx="85">
                  <c:v>5410.627</c:v>
                </c:pt>
                <c:pt idx="86">
                  <c:v>5654.608</c:v>
                </c:pt>
                <c:pt idx="87">
                  <c:v>6142.572</c:v>
                </c:pt>
                <c:pt idx="88">
                  <c:v>6386.554</c:v>
                </c:pt>
                <c:pt idx="89">
                  <c:v>6630.536</c:v>
                </c:pt>
                <c:pt idx="90">
                  <c:v>7118.5</c:v>
                </c:pt>
                <c:pt idx="91">
                  <c:v>1887.65</c:v>
                </c:pt>
                <c:pt idx="92">
                  <c:v>2005.058</c:v>
                </c:pt>
                <c:pt idx="93">
                  <c:v>2063.762</c:v>
                </c:pt>
                <c:pt idx="94">
                  <c:v>2181.17</c:v>
                </c:pt>
                <c:pt idx="95">
                  <c:v>2239.874</c:v>
                </c:pt>
                <c:pt idx="96">
                  <c:v>2298.578</c:v>
                </c:pt>
                <c:pt idx="97">
                  <c:v>2357.282</c:v>
                </c:pt>
                <c:pt idx="98">
                  <c:v>2415.986</c:v>
                </c:pt>
                <c:pt idx="99">
                  <c:v>2533.394</c:v>
                </c:pt>
                <c:pt idx="100">
                  <c:v>2709.506</c:v>
                </c:pt>
                <c:pt idx="101">
                  <c:v>2768.21</c:v>
                </c:pt>
                <c:pt idx="102">
                  <c:v>2826.914</c:v>
                </c:pt>
                <c:pt idx="103">
                  <c:v>2944.322</c:v>
                </c:pt>
                <c:pt idx="104">
                  <c:v>3003.026</c:v>
                </c:pt>
                <c:pt idx="105">
                  <c:v>3061.73</c:v>
                </c:pt>
                <c:pt idx="106">
                  <c:v>-248.341</c:v>
                </c:pt>
                <c:pt idx="107">
                  <c:v>-189.637</c:v>
                </c:pt>
                <c:pt idx="108">
                  <c:v>-13.525</c:v>
                </c:pt>
                <c:pt idx="109">
                  <c:v>103.883</c:v>
                </c:pt>
                <c:pt idx="110">
                  <c:v>162.587</c:v>
                </c:pt>
                <c:pt idx="111">
                  <c:v>221.291</c:v>
                </c:pt>
                <c:pt idx="112">
                  <c:v>338.699</c:v>
                </c:pt>
                <c:pt idx="113">
                  <c:v>456.107</c:v>
                </c:pt>
                <c:pt idx="114">
                  <c:v>514.811</c:v>
                </c:pt>
                <c:pt idx="115">
                  <c:v>632.219</c:v>
                </c:pt>
                <c:pt idx="116">
                  <c:v>749.627</c:v>
                </c:pt>
                <c:pt idx="117">
                  <c:v>808.331</c:v>
                </c:pt>
                <c:pt idx="118">
                  <c:v>867.035</c:v>
                </c:pt>
                <c:pt idx="119">
                  <c:v>984.443</c:v>
                </c:pt>
                <c:pt idx="121">
                  <c:v>4083.744</c:v>
                </c:pt>
                <c:pt idx="122">
                  <c:v>5028.255</c:v>
                </c:pt>
                <c:pt idx="123">
                  <c:v>5947.359</c:v>
                </c:pt>
                <c:pt idx="124">
                  <c:v>663.655</c:v>
                </c:pt>
                <c:pt idx="125">
                  <c:v>1616.619</c:v>
                </c:pt>
                <c:pt idx="126">
                  <c:v>2977.995</c:v>
                </c:pt>
                <c:pt idx="127">
                  <c:v>5494.926</c:v>
                </c:pt>
                <c:pt idx="128">
                  <c:v>8157.115</c:v>
                </c:pt>
                <c:pt idx="129">
                  <c:v>9818.192</c:v>
                </c:pt>
                <c:pt idx="130">
                  <c:v>1457.916</c:v>
                </c:pt>
                <c:pt idx="131">
                  <c:v>2219.308</c:v>
                </c:pt>
                <c:pt idx="132">
                  <c:v>4439.768</c:v>
                </c:pt>
                <c:pt idx="133">
                  <c:v>5903.659</c:v>
                </c:pt>
                <c:pt idx="134">
                  <c:v>5578.187</c:v>
                </c:pt>
                <c:pt idx="135">
                  <c:v>8500.85</c:v>
                </c:pt>
                <c:pt idx="136">
                  <c:v>9485.595</c:v>
                </c:pt>
                <c:pt idx="137">
                  <c:v>10340.006</c:v>
                </c:pt>
                <c:pt idx="138">
                  <c:v>2217.677</c:v>
                </c:pt>
                <c:pt idx="139">
                  <c:v>4678.681</c:v>
                </c:pt>
                <c:pt idx="140">
                  <c:v>5166.645</c:v>
                </c:pt>
                <c:pt idx="141">
                  <c:v>6874.518</c:v>
                </c:pt>
                <c:pt idx="142">
                  <c:v>1946.354</c:v>
                </c:pt>
                <c:pt idx="143">
                  <c:v>2474.69</c:v>
                </c:pt>
                <c:pt idx="144">
                  <c:v>2885.618</c:v>
                </c:pt>
                <c:pt idx="145">
                  <c:v>-130.933</c:v>
                </c:pt>
                <c:pt idx="146">
                  <c:v>45.179</c:v>
                </c:pt>
                <c:pt idx="147">
                  <c:v>573.515</c:v>
                </c:pt>
                <c:pt idx="148">
                  <c:v>690.923</c:v>
                </c:pt>
                <c:pt idx="149">
                  <c:v>3191.964</c:v>
                </c:pt>
                <c:pt idx="150">
                  <c:v>4896.954</c:v>
                </c:pt>
                <c:pt idx="151">
                  <c:v>5816.059</c:v>
                </c:pt>
                <c:pt idx="152">
                  <c:v>1208.206</c:v>
                </c:pt>
                <c:pt idx="153">
                  <c:v>1752.756</c:v>
                </c:pt>
                <c:pt idx="154">
                  <c:v>3114.133</c:v>
                </c:pt>
                <c:pt idx="155">
                  <c:v>6832.227</c:v>
                </c:pt>
                <c:pt idx="156">
                  <c:v>8792.898</c:v>
                </c:pt>
                <c:pt idx="157">
                  <c:v>9134.663</c:v>
                </c:pt>
                <c:pt idx="158">
                  <c:v>1204.119</c:v>
                </c:pt>
                <c:pt idx="159">
                  <c:v>2473.105</c:v>
                </c:pt>
                <c:pt idx="160">
                  <c:v>4683.749</c:v>
                </c:pt>
                <c:pt idx="161">
                  <c:v>5415.695</c:v>
                </c:pt>
                <c:pt idx="162">
                  <c:v>6581.162</c:v>
                </c:pt>
                <c:pt idx="163">
                  <c:v>8323.474</c:v>
                </c:pt>
                <c:pt idx="164">
                  <c:v>9656.477</c:v>
                </c:pt>
                <c:pt idx="165">
                  <c:v>9998.242</c:v>
                </c:pt>
                <c:pt idx="166">
                  <c:v>2725.272</c:v>
                </c:pt>
                <c:pt idx="167">
                  <c:v>4922.663</c:v>
                </c:pt>
                <c:pt idx="168">
                  <c:v>5898.59</c:v>
                </c:pt>
                <c:pt idx="169">
                  <c:v>1828.946</c:v>
                </c:pt>
                <c:pt idx="170">
                  <c:v>2122.466</c:v>
                </c:pt>
                <c:pt idx="171">
                  <c:v>2592.098</c:v>
                </c:pt>
                <c:pt idx="172">
                  <c:v>2650.802</c:v>
                </c:pt>
                <c:pt idx="173">
                  <c:v>-72.229</c:v>
                </c:pt>
                <c:pt idx="174">
                  <c:v>279.995</c:v>
                </c:pt>
                <c:pt idx="175">
                  <c:v>397.403</c:v>
                </c:pt>
                <c:pt idx="176">
                  <c:v>925.739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RF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Sheet4!$F$2:$F$178</c:f>
              <c:numCache>
                <c:formatCode>General</c:formatCode>
                <c:ptCount val="177"/>
                <c:pt idx="0">
                  <c:v>2631.286</c:v>
                </c:pt>
                <c:pt idx="1">
                  <c:v>3157.045</c:v>
                </c:pt>
                <c:pt idx="2">
                  <c:v>3267.629</c:v>
                </c:pt>
                <c:pt idx="3">
                  <c:v>3346.119</c:v>
                </c:pt>
                <c:pt idx="4">
                  <c:v>3475.343</c:v>
                </c:pt>
                <c:pt idx="5">
                  <c:v>4610.724</c:v>
                </c:pt>
                <c:pt idx="6">
                  <c:v>4740.76</c:v>
                </c:pt>
                <c:pt idx="7">
                  <c:v>4980.037</c:v>
                </c:pt>
                <c:pt idx="8">
                  <c:v>5473.096</c:v>
                </c:pt>
                <c:pt idx="9">
                  <c:v>5585.9</c:v>
                </c:pt>
                <c:pt idx="10">
                  <c:v>5616.547</c:v>
                </c:pt>
                <c:pt idx="11">
                  <c:v>5601.204</c:v>
                </c:pt>
                <c:pt idx="12">
                  <c:v>5601.201</c:v>
                </c:pt>
                <c:pt idx="13">
                  <c:v>5603.553</c:v>
                </c:pt>
                <c:pt idx="14">
                  <c:v>5704.534</c:v>
                </c:pt>
                <c:pt idx="15">
                  <c:v>5834.066</c:v>
                </c:pt>
                <c:pt idx="16">
                  <c:v>1015.838</c:v>
                </c:pt>
                <c:pt idx="17">
                  <c:v>1025.857</c:v>
                </c:pt>
                <c:pt idx="18">
                  <c:v>1166.115</c:v>
                </c:pt>
                <c:pt idx="19">
                  <c:v>1178.996</c:v>
                </c:pt>
                <c:pt idx="20">
                  <c:v>1303.321</c:v>
                </c:pt>
                <c:pt idx="21">
                  <c:v>2316.65</c:v>
                </c:pt>
                <c:pt idx="22">
                  <c:v>2288.469</c:v>
                </c:pt>
                <c:pt idx="23">
                  <c:v>2236.127</c:v>
                </c:pt>
                <c:pt idx="24">
                  <c:v>2286.191</c:v>
                </c:pt>
                <c:pt idx="25">
                  <c:v>2317.106</c:v>
                </c:pt>
                <c:pt idx="26">
                  <c:v>2510.493</c:v>
                </c:pt>
                <c:pt idx="27">
                  <c:v>2806.341</c:v>
                </c:pt>
                <c:pt idx="28">
                  <c:v>3082.045</c:v>
                </c:pt>
                <c:pt idx="29">
                  <c:v>3233.86</c:v>
                </c:pt>
                <c:pt idx="30">
                  <c:v>3291.645</c:v>
                </c:pt>
                <c:pt idx="31">
                  <c:v>3343.47</c:v>
                </c:pt>
                <c:pt idx="32">
                  <c:v>4508.063</c:v>
                </c:pt>
                <c:pt idx="33">
                  <c:v>5118.38</c:v>
                </c:pt>
                <c:pt idx="34">
                  <c:v>5770.23</c:v>
                </c:pt>
                <c:pt idx="35">
                  <c:v>7579.239</c:v>
                </c:pt>
                <c:pt idx="36">
                  <c:v>8609.083</c:v>
                </c:pt>
                <c:pt idx="37">
                  <c:v>8550.115</c:v>
                </c:pt>
                <c:pt idx="38">
                  <c:v>8781.4</c:v>
                </c:pt>
                <c:pt idx="39">
                  <c:v>9156.468</c:v>
                </c:pt>
                <c:pt idx="40">
                  <c:v>9522.256</c:v>
                </c:pt>
                <c:pt idx="41">
                  <c:v>9582.275</c:v>
                </c:pt>
                <c:pt idx="42">
                  <c:v>9637.789</c:v>
                </c:pt>
                <c:pt idx="43">
                  <c:v>9674.157</c:v>
                </c:pt>
                <c:pt idx="44">
                  <c:v>9768.656</c:v>
                </c:pt>
                <c:pt idx="45">
                  <c:v>9770.109</c:v>
                </c:pt>
                <c:pt idx="46">
                  <c:v>9745.25</c:v>
                </c:pt>
                <c:pt idx="47">
                  <c:v>9756.678</c:v>
                </c:pt>
                <c:pt idx="48">
                  <c:v>1225.172</c:v>
                </c:pt>
                <c:pt idx="49">
                  <c:v>1237.902</c:v>
                </c:pt>
                <c:pt idx="50">
                  <c:v>2576.755</c:v>
                </c:pt>
                <c:pt idx="51">
                  <c:v>2863.782</c:v>
                </c:pt>
                <c:pt idx="52">
                  <c:v>3428.291</c:v>
                </c:pt>
                <c:pt idx="53">
                  <c:v>4311.843</c:v>
                </c:pt>
                <c:pt idx="54">
                  <c:v>4440.858</c:v>
                </c:pt>
                <c:pt idx="55">
                  <c:v>5350.588</c:v>
                </c:pt>
                <c:pt idx="56">
                  <c:v>5521.829</c:v>
                </c:pt>
                <c:pt idx="57">
                  <c:v>6306.997</c:v>
                </c:pt>
                <c:pt idx="58">
                  <c:v>6419.009</c:v>
                </c:pt>
                <c:pt idx="59">
                  <c:v>6491.314</c:v>
                </c:pt>
                <c:pt idx="60">
                  <c:v>6496.286</c:v>
                </c:pt>
                <c:pt idx="61">
                  <c:v>6506.824</c:v>
                </c:pt>
                <c:pt idx="62">
                  <c:v>4830.705</c:v>
                </c:pt>
                <c:pt idx="63">
                  <c:v>5264.485</c:v>
                </c:pt>
                <c:pt idx="64">
                  <c:v>6577.193</c:v>
                </c:pt>
                <c:pt idx="65">
                  <c:v>7910.022</c:v>
                </c:pt>
                <c:pt idx="66">
                  <c:v>8840.682</c:v>
                </c:pt>
                <c:pt idx="67">
                  <c:v>8762.587</c:v>
                </c:pt>
                <c:pt idx="68">
                  <c:v>9662.935</c:v>
                </c:pt>
                <c:pt idx="69">
                  <c:v>9811.793</c:v>
                </c:pt>
                <c:pt idx="70">
                  <c:v>9897.482</c:v>
                </c:pt>
                <c:pt idx="71">
                  <c:v>9866.431</c:v>
                </c:pt>
                <c:pt idx="72">
                  <c:v>9963.756</c:v>
                </c:pt>
                <c:pt idx="73">
                  <c:v>10065.325</c:v>
                </c:pt>
                <c:pt idx="74">
                  <c:v>10104.265</c:v>
                </c:pt>
                <c:pt idx="75">
                  <c:v>10105.254</c:v>
                </c:pt>
                <c:pt idx="76">
                  <c:v>1304.934</c:v>
                </c:pt>
                <c:pt idx="77">
                  <c:v>1310.362</c:v>
                </c:pt>
                <c:pt idx="78">
                  <c:v>1320.209</c:v>
                </c:pt>
                <c:pt idx="79">
                  <c:v>1639.836</c:v>
                </c:pt>
                <c:pt idx="80">
                  <c:v>2893.21</c:v>
                </c:pt>
                <c:pt idx="81">
                  <c:v>3009.145</c:v>
                </c:pt>
                <c:pt idx="82">
                  <c:v>3620.375</c:v>
                </c:pt>
                <c:pt idx="83">
                  <c:v>4575.279</c:v>
                </c:pt>
                <c:pt idx="84">
                  <c:v>4839.529</c:v>
                </c:pt>
                <c:pt idx="85">
                  <c:v>5822.33</c:v>
                </c:pt>
                <c:pt idx="86">
                  <c:v>6010.494</c:v>
                </c:pt>
                <c:pt idx="87">
                  <c:v>6637.757</c:v>
                </c:pt>
                <c:pt idx="88">
                  <c:v>6683.92</c:v>
                </c:pt>
                <c:pt idx="89">
                  <c:v>6687.015</c:v>
                </c:pt>
                <c:pt idx="90">
                  <c:v>6752.956</c:v>
                </c:pt>
                <c:pt idx="91">
                  <c:v>2025.117</c:v>
                </c:pt>
                <c:pt idx="92">
                  <c:v>2222.741</c:v>
                </c:pt>
                <c:pt idx="93">
                  <c:v>2129.214</c:v>
                </c:pt>
                <c:pt idx="94">
                  <c:v>2096.567</c:v>
                </c:pt>
                <c:pt idx="95">
                  <c:v>2168.494</c:v>
                </c:pt>
                <c:pt idx="96">
                  <c:v>2166.335</c:v>
                </c:pt>
                <c:pt idx="97">
                  <c:v>2271.518</c:v>
                </c:pt>
                <c:pt idx="98">
                  <c:v>2434.032</c:v>
                </c:pt>
                <c:pt idx="99">
                  <c:v>2200.483</c:v>
                </c:pt>
                <c:pt idx="100">
                  <c:v>2418.298</c:v>
                </c:pt>
                <c:pt idx="101">
                  <c:v>2435.382</c:v>
                </c:pt>
                <c:pt idx="102">
                  <c:v>2401.092</c:v>
                </c:pt>
                <c:pt idx="103">
                  <c:v>2331.613</c:v>
                </c:pt>
                <c:pt idx="104">
                  <c:v>2497.817</c:v>
                </c:pt>
                <c:pt idx="105">
                  <c:v>2616.204</c:v>
                </c:pt>
                <c:pt idx="106">
                  <c:v>521.506</c:v>
                </c:pt>
                <c:pt idx="107">
                  <c:v>554.084</c:v>
                </c:pt>
                <c:pt idx="108">
                  <c:v>589.276</c:v>
                </c:pt>
                <c:pt idx="109">
                  <c:v>627.029</c:v>
                </c:pt>
                <c:pt idx="110">
                  <c:v>733.911</c:v>
                </c:pt>
                <c:pt idx="111">
                  <c:v>737.842</c:v>
                </c:pt>
                <c:pt idx="112">
                  <c:v>748.119</c:v>
                </c:pt>
                <c:pt idx="113">
                  <c:v>684.599</c:v>
                </c:pt>
                <c:pt idx="114">
                  <c:v>724.568</c:v>
                </c:pt>
                <c:pt idx="115">
                  <c:v>785.144</c:v>
                </c:pt>
                <c:pt idx="116">
                  <c:v>804.936</c:v>
                </c:pt>
                <c:pt idx="117">
                  <c:v>761.595</c:v>
                </c:pt>
                <c:pt idx="118">
                  <c:v>859.326</c:v>
                </c:pt>
                <c:pt idx="119">
                  <c:v>1069.075</c:v>
                </c:pt>
                <c:pt idx="121">
                  <c:v>4198.843</c:v>
                </c:pt>
                <c:pt idx="122">
                  <c:v>5541.423</c:v>
                </c:pt>
                <c:pt idx="123">
                  <c:v>5482.86</c:v>
                </c:pt>
                <c:pt idx="124">
                  <c:v>995.224</c:v>
                </c:pt>
                <c:pt idx="125">
                  <c:v>1694.618</c:v>
                </c:pt>
                <c:pt idx="126">
                  <c:v>3082.936</c:v>
                </c:pt>
                <c:pt idx="127">
                  <c:v>4478.333</c:v>
                </c:pt>
                <c:pt idx="128">
                  <c:v>8404.95</c:v>
                </c:pt>
                <c:pt idx="129">
                  <c:v>9682.471</c:v>
                </c:pt>
                <c:pt idx="130">
                  <c:v>1242.233</c:v>
                </c:pt>
                <c:pt idx="131">
                  <c:v>1550.135</c:v>
                </c:pt>
                <c:pt idx="132">
                  <c:v>4881.984</c:v>
                </c:pt>
                <c:pt idx="133">
                  <c:v>6357.364</c:v>
                </c:pt>
                <c:pt idx="134">
                  <c:v>4591.635</c:v>
                </c:pt>
                <c:pt idx="135">
                  <c:v>9286.392</c:v>
                </c:pt>
                <c:pt idx="136">
                  <c:v>9754.347</c:v>
                </c:pt>
                <c:pt idx="137">
                  <c:v>10066.605</c:v>
                </c:pt>
                <c:pt idx="138">
                  <c:v>1480.584</c:v>
                </c:pt>
                <c:pt idx="139">
                  <c:v>5131.119</c:v>
                </c:pt>
                <c:pt idx="140">
                  <c:v>5832.738</c:v>
                </c:pt>
                <c:pt idx="141">
                  <c:v>6750.165</c:v>
                </c:pt>
                <c:pt idx="142">
                  <c:v>2220.681</c:v>
                </c:pt>
                <c:pt idx="143">
                  <c:v>2203.811</c:v>
                </c:pt>
                <c:pt idx="144">
                  <c:v>2323.622</c:v>
                </c:pt>
                <c:pt idx="145">
                  <c:v>631.05</c:v>
                </c:pt>
                <c:pt idx="146">
                  <c:v>633.329</c:v>
                </c:pt>
                <c:pt idx="147">
                  <c:v>901.384</c:v>
                </c:pt>
                <c:pt idx="148">
                  <c:v>902.417</c:v>
                </c:pt>
                <c:pt idx="149">
                  <c:v>2626.346</c:v>
                </c:pt>
                <c:pt idx="150">
                  <c:v>5420.134</c:v>
                </c:pt>
                <c:pt idx="151">
                  <c:v>5511.182</c:v>
                </c:pt>
                <c:pt idx="152">
                  <c:v>1174.556</c:v>
                </c:pt>
                <c:pt idx="153">
                  <c:v>2235.621</c:v>
                </c:pt>
                <c:pt idx="154">
                  <c:v>3119.552</c:v>
                </c:pt>
                <c:pt idx="155">
                  <c:v>6546.963</c:v>
                </c:pt>
                <c:pt idx="156">
                  <c:v>9451.765</c:v>
                </c:pt>
                <c:pt idx="157">
                  <c:v>9417.021</c:v>
                </c:pt>
                <c:pt idx="158">
                  <c:v>1246.655</c:v>
                </c:pt>
                <c:pt idx="159">
                  <c:v>2506.941</c:v>
                </c:pt>
                <c:pt idx="160">
                  <c:v>5387.23</c:v>
                </c:pt>
                <c:pt idx="161">
                  <c:v>5877.35</c:v>
                </c:pt>
                <c:pt idx="162">
                  <c:v>6246.954</c:v>
                </c:pt>
                <c:pt idx="163">
                  <c:v>8710.879</c:v>
                </c:pt>
                <c:pt idx="164">
                  <c:v>9751.109</c:v>
                </c:pt>
                <c:pt idx="165">
                  <c:v>9932.25</c:v>
                </c:pt>
                <c:pt idx="166">
                  <c:v>2643.385</c:v>
                </c:pt>
                <c:pt idx="167">
                  <c:v>5660.438</c:v>
                </c:pt>
                <c:pt idx="168">
                  <c:v>6684.256</c:v>
                </c:pt>
                <c:pt idx="169">
                  <c:v>1924.718</c:v>
                </c:pt>
                <c:pt idx="170">
                  <c:v>2159.69</c:v>
                </c:pt>
                <c:pt idx="171">
                  <c:v>2486.316</c:v>
                </c:pt>
                <c:pt idx="172">
                  <c:v>2625.346</c:v>
                </c:pt>
                <c:pt idx="173">
                  <c:v>645.12</c:v>
                </c:pt>
                <c:pt idx="174">
                  <c:v>909.234</c:v>
                </c:pt>
                <c:pt idx="175">
                  <c:v>726.321</c:v>
                </c:pt>
                <c:pt idx="176">
                  <c:v>1160.29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Sheet4!$G$1</c:f>
              <c:strCache>
                <c:ptCount val="1"/>
                <c:pt idx="0">
                  <c:v>RT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Sheet4!$G$2:$G$178</c:f>
              <c:numCache>
                <c:formatCode>General</c:formatCode>
                <c:ptCount val="177"/>
                <c:pt idx="0">
                  <c:v>2405</c:v>
                </c:pt>
                <c:pt idx="1">
                  <c:v>3296.25</c:v>
                </c:pt>
                <c:pt idx="2">
                  <c:v>3296.25</c:v>
                </c:pt>
                <c:pt idx="3">
                  <c:v>3296.25</c:v>
                </c:pt>
                <c:pt idx="4">
                  <c:v>3296.25</c:v>
                </c:pt>
                <c:pt idx="5">
                  <c:v>4858</c:v>
                </c:pt>
                <c:pt idx="6">
                  <c:v>4858</c:v>
                </c:pt>
                <c:pt idx="7">
                  <c:v>4858</c:v>
                </c:pt>
                <c:pt idx="8">
                  <c:v>5510</c:v>
                </c:pt>
                <c:pt idx="9">
                  <c:v>5658.5</c:v>
                </c:pt>
                <c:pt idx="10">
                  <c:v>5658.5</c:v>
                </c:pt>
                <c:pt idx="11">
                  <c:v>5770.4</c:v>
                </c:pt>
                <c:pt idx="12">
                  <c:v>5770.4</c:v>
                </c:pt>
                <c:pt idx="13">
                  <c:v>5770.4</c:v>
                </c:pt>
                <c:pt idx="14">
                  <c:v>5770.4</c:v>
                </c:pt>
                <c:pt idx="15">
                  <c:v>5770.4</c:v>
                </c:pt>
                <c:pt idx="16">
                  <c:v>995.25</c:v>
                </c:pt>
                <c:pt idx="17">
                  <c:v>995.25</c:v>
                </c:pt>
                <c:pt idx="18">
                  <c:v>995.25</c:v>
                </c:pt>
                <c:pt idx="19">
                  <c:v>995.25</c:v>
                </c:pt>
                <c:pt idx="20">
                  <c:v>1220</c:v>
                </c:pt>
                <c:pt idx="21">
                  <c:v>2235.333</c:v>
                </c:pt>
                <c:pt idx="22">
                  <c:v>2235.333</c:v>
                </c:pt>
                <c:pt idx="23">
                  <c:v>2235.333</c:v>
                </c:pt>
                <c:pt idx="24">
                  <c:v>2235.333</c:v>
                </c:pt>
                <c:pt idx="25">
                  <c:v>2235.333</c:v>
                </c:pt>
                <c:pt idx="26">
                  <c:v>2235.333</c:v>
                </c:pt>
                <c:pt idx="27">
                  <c:v>2776</c:v>
                </c:pt>
                <c:pt idx="28">
                  <c:v>3286.75</c:v>
                </c:pt>
                <c:pt idx="29">
                  <c:v>3286.75</c:v>
                </c:pt>
                <c:pt idx="30">
                  <c:v>3286.75</c:v>
                </c:pt>
                <c:pt idx="31">
                  <c:v>3286.75</c:v>
                </c:pt>
                <c:pt idx="32">
                  <c:v>4205</c:v>
                </c:pt>
                <c:pt idx="33">
                  <c:v>5201</c:v>
                </c:pt>
                <c:pt idx="34">
                  <c:v>5789</c:v>
                </c:pt>
                <c:pt idx="35">
                  <c:v>7422</c:v>
                </c:pt>
                <c:pt idx="36">
                  <c:v>8808.333</c:v>
                </c:pt>
                <c:pt idx="37">
                  <c:v>8808.333</c:v>
                </c:pt>
                <c:pt idx="38">
                  <c:v>8808.333</c:v>
                </c:pt>
                <c:pt idx="39">
                  <c:v>9631</c:v>
                </c:pt>
                <c:pt idx="40">
                  <c:v>9631</c:v>
                </c:pt>
                <c:pt idx="41">
                  <c:v>9631</c:v>
                </c:pt>
                <c:pt idx="42">
                  <c:v>9631</c:v>
                </c:pt>
                <c:pt idx="43">
                  <c:v>9631</c:v>
                </c:pt>
                <c:pt idx="44">
                  <c:v>9849.5</c:v>
                </c:pt>
                <c:pt idx="45">
                  <c:v>9849.5</c:v>
                </c:pt>
                <c:pt idx="46">
                  <c:v>9849.5</c:v>
                </c:pt>
                <c:pt idx="47">
                  <c:v>9849.5</c:v>
                </c:pt>
                <c:pt idx="48">
                  <c:v>1007.5</c:v>
                </c:pt>
                <c:pt idx="49">
                  <c:v>1007.5</c:v>
                </c:pt>
                <c:pt idx="50">
                  <c:v>2220</c:v>
                </c:pt>
                <c:pt idx="51">
                  <c:v>2678</c:v>
                </c:pt>
                <c:pt idx="52">
                  <c:v>3145</c:v>
                </c:pt>
                <c:pt idx="53">
                  <c:v>4348</c:v>
                </c:pt>
                <c:pt idx="54">
                  <c:v>4348</c:v>
                </c:pt>
                <c:pt idx="55">
                  <c:v>5315.5</c:v>
                </c:pt>
                <c:pt idx="56">
                  <c:v>5315.5</c:v>
                </c:pt>
                <c:pt idx="57">
                  <c:v>6379.8</c:v>
                </c:pt>
                <c:pt idx="58">
                  <c:v>6379.8</c:v>
                </c:pt>
                <c:pt idx="59">
                  <c:v>6379.8</c:v>
                </c:pt>
                <c:pt idx="60">
                  <c:v>6379.8</c:v>
                </c:pt>
                <c:pt idx="61">
                  <c:v>6379.8</c:v>
                </c:pt>
                <c:pt idx="62">
                  <c:v>4505</c:v>
                </c:pt>
                <c:pt idx="63">
                  <c:v>5501</c:v>
                </c:pt>
                <c:pt idx="64">
                  <c:v>6602</c:v>
                </c:pt>
                <c:pt idx="65">
                  <c:v>7722</c:v>
                </c:pt>
                <c:pt idx="66">
                  <c:v>9074</c:v>
                </c:pt>
                <c:pt idx="67">
                  <c:v>9074</c:v>
                </c:pt>
                <c:pt idx="68">
                  <c:v>9902</c:v>
                </c:pt>
                <c:pt idx="69">
                  <c:v>9902</c:v>
                </c:pt>
                <c:pt idx="70">
                  <c:v>9902</c:v>
                </c:pt>
                <c:pt idx="71">
                  <c:v>9902</c:v>
                </c:pt>
                <c:pt idx="72">
                  <c:v>9902</c:v>
                </c:pt>
                <c:pt idx="73">
                  <c:v>10150.667</c:v>
                </c:pt>
                <c:pt idx="74">
                  <c:v>10150.667</c:v>
                </c:pt>
                <c:pt idx="75">
                  <c:v>10150.667</c:v>
                </c:pt>
                <c:pt idx="76">
                  <c:v>1250.333</c:v>
                </c:pt>
                <c:pt idx="77">
                  <c:v>1250.333</c:v>
                </c:pt>
                <c:pt idx="78">
                  <c:v>1250.333</c:v>
                </c:pt>
                <c:pt idx="79">
                  <c:v>1475</c:v>
                </c:pt>
                <c:pt idx="80">
                  <c:v>2520</c:v>
                </c:pt>
                <c:pt idx="81">
                  <c:v>2879</c:v>
                </c:pt>
                <c:pt idx="82">
                  <c:v>3445</c:v>
                </c:pt>
                <c:pt idx="83">
                  <c:v>4648</c:v>
                </c:pt>
                <c:pt idx="84">
                  <c:v>4648</c:v>
                </c:pt>
                <c:pt idx="85">
                  <c:v>5621</c:v>
                </c:pt>
                <c:pt idx="86">
                  <c:v>5967</c:v>
                </c:pt>
                <c:pt idx="87">
                  <c:v>6675.5</c:v>
                </c:pt>
                <c:pt idx="88">
                  <c:v>6675.5</c:v>
                </c:pt>
                <c:pt idx="89">
                  <c:v>6675.5</c:v>
                </c:pt>
                <c:pt idx="90">
                  <c:v>6675.5</c:v>
                </c:pt>
                <c:pt idx="91">
                  <c:v>2150.556</c:v>
                </c:pt>
                <c:pt idx="92">
                  <c:v>2150.556</c:v>
                </c:pt>
                <c:pt idx="93">
                  <c:v>2150.556</c:v>
                </c:pt>
                <c:pt idx="94">
                  <c:v>2150.556</c:v>
                </c:pt>
                <c:pt idx="95">
                  <c:v>2150.556</c:v>
                </c:pt>
                <c:pt idx="96">
                  <c:v>2150.556</c:v>
                </c:pt>
                <c:pt idx="97">
                  <c:v>2150.556</c:v>
                </c:pt>
                <c:pt idx="98">
                  <c:v>2150.556</c:v>
                </c:pt>
                <c:pt idx="99">
                  <c:v>2150.556</c:v>
                </c:pt>
                <c:pt idx="100">
                  <c:v>2389.833</c:v>
                </c:pt>
                <c:pt idx="101">
                  <c:v>2389.833</c:v>
                </c:pt>
                <c:pt idx="102">
                  <c:v>2389.833</c:v>
                </c:pt>
                <c:pt idx="103">
                  <c:v>2389.833</c:v>
                </c:pt>
                <c:pt idx="104">
                  <c:v>2389.833</c:v>
                </c:pt>
                <c:pt idx="105">
                  <c:v>2389.833</c:v>
                </c:pt>
                <c:pt idx="106">
                  <c:v>576.333</c:v>
                </c:pt>
                <c:pt idx="107">
                  <c:v>576.333</c:v>
                </c:pt>
                <c:pt idx="108">
                  <c:v>576.333</c:v>
                </c:pt>
                <c:pt idx="109">
                  <c:v>576.333</c:v>
                </c:pt>
                <c:pt idx="110">
                  <c:v>576.333</c:v>
                </c:pt>
                <c:pt idx="111">
                  <c:v>576.333</c:v>
                </c:pt>
                <c:pt idx="112">
                  <c:v>576.333</c:v>
                </c:pt>
                <c:pt idx="113">
                  <c:v>576.333</c:v>
                </c:pt>
                <c:pt idx="114">
                  <c:v>576.333</c:v>
                </c:pt>
                <c:pt idx="115">
                  <c:v>760.6</c:v>
                </c:pt>
                <c:pt idx="116">
                  <c:v>760.6</c:v>
                </c:pt>
                <c:pt idx="117">
                  <c:v>760.6</c:v>
                </c:pt>
                <c:pt idx="118">
                  <c:v>760.6</c:v>
                </c:pt>
                <c:pt idx="119">
                  <c:v>760.6</c:v>
                </c:pt>
                <c:pt idx="121">
                  <c:v>4858</c:v>
                </c:pt>
                <c:pt idx="122">
                  <c:v>5510</c:v>
                </c:pt>
                <c:pt idx="123">
                  <c:v>5770.4</c:v>
                </c:pt>
                <c:pt idx="124">
                  <c:v>995.25</c:v>
                </c:pt>
                <c:pt idx="125">
                  <c:v>1220</c:v>
                </c:pt>
                <c:pt idx="126">
                  <c:v>3286.75</c:v>
                </c:pt>
                <c:pt idx="127">
                  <c:v>4205</c:v>
                </c:pt>
                <c:pt idx="128">
                  <c:v>8808.333</c:v>
                </c:pt>
                <c:pt idx="129">
                  <c:v>9849.5</c:v>
                </c:pt>
                <c:pt idx="130">
                  <c:v>1007.5</c:v>
                </c:pt>
                <c:pt idx="131">
                  <c:v>1007.5</c:v>
                </c:pt>
                <c:pt idx="132">
                  <c:v>4348</c:v>
                </c:pt>
                <c:pt idx="133">
                  <c:v>6379.8</c:v>
                </c:pt>
                <c:pt idx="134">
                  <c:v>4505</c:v>
                </c:pt>
                <c:pt idx="135">
                  <c:v>9902</c:v>
                </c:pt>
                <c:pt idx="136">
                  <c:v>9902</c:v>
                </c:pt>
                <c:pt idx="137">
                  <c:v>10150.667</c:v>
                </c:pt>
                <c:pt idx="138">
                  <c:v>1475</c:v>
                </c:pt>
                <c:pt idx="139">
                  <c:v>4648</c:v>
                </c:pt>
                <c:pt idx="140">
                  <c:v>5621</c:v>
                </c:pt>
                <c:pt idx="141">
                  <c:v>6675.5</c:v>
                </c:pt>
                <c:pt idx="142">
                  <c:v>2150.556</c:v>
                </c:pt>
                <c:pt idx="143">
                  <c:v>2150.556</c:v>
                </c:pt>
                <c:pt idx="144">
                  <c:v>2389.833</c:v>
                </c:pt>
                <c:pt idx="145">
                  <c:v>576.333</c:v>
                </c:pt>
                <c:pt idx="146">
                  <c:v>576.333</c:v>
                </c:pt>
                <c:pt idx="147">
                  <c:v>760.6</c:v>
                </c:pt>
                <c:pt idx="148">
                  <c:v>760.6</c:v>
                </c:pt>
                <c:pt idx="149">
                  <c:v>2405</c:v>
                </c:pt>
                <c:pt idx="150">
                  <c:v>5510</c:v>
                </c:pt>
                <c:pt idx="151">
                  <c:v>5770.4</c:v>
                </c:pt>
                <c:pt idx="152">
                  <c:v>995.25</c:v>
                </c:pt>
                <c:pt idx="153">
                  <c:v>2235.333</c:v>
                </c:pt>
                <c:pt idx="154">
                  <c:v>3286.75</c:v>
                </c:pt>
                <c:pt idx="155">
                  <c:v>7422</c:v>
                </c:pt>
                <c:pt idx="156">
                  <c:v>9631</c:v>
                </c:pt>
                <c:pt idx="157">
                  <c:v>9631</c:v>
                </c:pt>
                <c:pt idx="158">
                  <c:v>1007.5</c:v>
                </c:pt>
                <c:pt idx="159">
                  <c:v>2220</c:v>
                </c:pt>
                <c:pt idx="160">
                  <c:v>5315.5</c:v>
                </c:pt>
                <c:pt idx="161">
                  <c:v>6379.8</c:v>
                </c:pt>
                <c:pt idx="162">
                  <c:v>6602</c:v>
                </c:pt>
                <c:pt idx="163">
                  <c:v>9074</c:v>
                </c:pt>
                <c:pt idx="164">
                  <c:v>9902</c:v>
                </c:pt>
                <c:pt idx="165">
                  <c:v>10150.667</c:v>
                </c:pt>
                <c:pt idx="166">
                  <c:v>2520</c:v>
                </c:pt>
                <c:pt idx="167">
                  <c:v>5621</c:v>
                </c:pt>
                <c:pt idx="168">
                  <c:v>6675.5</c:v>
                </c:pt>
                <c:pt idx="169">
                  <c:v>2150.556</c:v>
                </c:pt>
                <c:pt idx="170">
                  <c:v>2150.556</c:v>
                </c:pt>
                <c:pt idx="171">
                  <c:v>5658.5</c:v>
                </c:pt>
                <c:pt idx="172">
                  <c:v>5658.5</c:v>
                </c:pt>
                <c:pt idx="173">
                  <c:v>576.333</c:v>
                </c:pt>
                <c:pt idx="174">
                  <c:v>576.333</c:v>
                </c:pt>
                <c:pt idx="175">
                  <c:v>576.333</c:v>
                </c:pt>
                <c:pt idx="176">
                  <c:v>760.6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Sheet4!$H$1</c:f>
              <c:strCache>
                <c:ptCount val="1"/>
                <c:pt idx="0">
                  <c:v>REP Tree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Sheet4!$H$2:$H$178</c:f>
              <c:numCache>
                <c:formatCode>General</c:formatCode>
                <c:ptCount val="177"/>
                <c:pt idx="0">
                  <c:v>3118</c:v>
                </c:pt>
                <c:pt idx="1">
                  <c:v>3118</c:v>
                </c:pt>
                <c:pt idx="2">
                  <c:v>3118</c:v>
                </c:pt>
                <c:pt idx="3">
                  <c:v>3118</c:v>
                </c:pt>
                <c:pt idx="4">
                  <c:v>3118</c:v>
                </c:pt>
                <c:pt idx="5">
                  <c:v>5477.545</c:v>
                </c:pt>
                <c:pt idx="6">
                  <c:v>5477.545</c:v>
                </c:pt>
                <c:pt idx="7">
                  <c:v>5477.545</c:v>
                </c:pt>
                <c:pt idx="8">
                  <c:v>5477.545</c:v>
                </c:pt>
                <c:pt idx="9">
                  <c:v>5477.545</c:v>
                </c:pt>
                <c:pt idx="10">
                  <c:v>5477.545</c:v>
                </c:pt>
                <c:pt idx="11">
                  <c:v>5477.545</c:v>
                </c:pt>
                <c:pt idx="12">
                  <c:v>5477.545</c:v>
                </c:pt>
                <c:pt idx="13">
                  <c:v>5477.545</c:v>
                </c:pt>
                <c:pt idx="14">
                  <c:v>5477.545</c:v>
                </c:pt>
                <c:pt idx="15">
                  <c:v>5477.545</c:v>
                </c:pt>
                <c:pt idx="16">
                  <c:v>1040.2</c:v>
                </c:pt>
                <c:pt idx="17">
                  <c:v>1040.2</c:v>
                </c:pt>
                <c:pt idx="18">
                  <c:v>1040.2</c:v>
                </c:pt>
                <c:pt idx="19">
                  <c:v>1040.2</c:v>
                </c:pt>
                <c:pt idx="20">
                  <c:v>1040.2</c:v>
                </c:pt>
                <c:pt idx="21">
                  <c:v>2218.2</c:v>
                </c:pt>
                <c:pt idx="22">
                  <c:v>2218.2</c:v>
                </c:pt>
                <c:pt idx="23">
                  <c:v>2218.2</c:v>
                </c:pt>
                <c:pt idx="24">
                  <c:v>2218.2</c:v>
                </c:pt>
                <c:pt idx="25">
                  <c:v>2218.2</c:v>
                </c:pt>
                <c:pt idx="26">
                  <c:v>3040.667</c:v>
                </c:pt>
                <c:pt idx="27">
                  <c:v>3040.667</c:v>
                </c:pt>
                <c:pt idx="28">
                  <c:v>3040.667</c:v>
                </c:pt>
                <c:pt idx="29">
                  <c:v>3040.667</c:v>
                </c:pt>
                <c:pt idx="30">
                  <c:v>3040.667</c:v>
                </c:pt>
                <c:pt idx="31">
                  <c:v>3040.667</c:v>
                </c:pt>
                <c:pt idx="32">
                  <c:v>5040.2</c:v>
                </c:pt>
                <c:pt idx="33">
                  <c:v>5040.2</c:v>
                </c:pt>
                <c:pt idx="34">
                  <c:v>5040.2</c:v>
                </c:pt>
                <c:pt idx="35">
                  <c:v>7248.667</c:v>
                </c:pt>
                <c:pt idx="36">
                  <c:v>8914.6</c:v>
                </c:pt>
                <c:pt idx="37">
                  <c:v>8914.6</c:v>
                </c:pt>
                <c:pt idx="38">
                  <c:v>8914.6</c:v>
                </c:pt>
                <c:pt idx="39">
                  <c:v>9853.824</c:v>
                </c:pt>
                <c:pt idx="40">
                  <c:v>9853.824</c:v>
                </c:pt>
                <c:pt idx="41">
                  <c:v>9853.824</c:v>
                </c:pt>
                <c:pt idx="42">
                  <c:v>9853.824</c:v>
                </c:pt>
                <c:pt idx="43">
                  <c:v>9853.824</c:v>
                </c:pt>
                <c:pt idx="44">
                  <c:v>9853.824</c:v>
                </c:pt>
                <c:pt idx="45">
                  <c:v>9853.824</c:v>
                </c:pt>
                <c:pt idx="46">
                  <c:v>9853.824</c:v>
                </c:pt>
                <c:pt idx="47">
                  <c:v>9853.824</c:v>
                </c:pt>
                <c:pt idx="48">
                  <c:v>1206.833</c:v>
                </c:pt>
                <c:pt idx="49">
                  <c:v>1206.833</c:v>
                </c:pt>
                <c:pt idx="50">
                  <c:v>2814.5</c:v>
                </c:pt>
                <c:pt idx="51">
                  <c:v>2814.5</c:v>
                </c:pt>
                <c:pt idx="52">
                  <c:v>2814.5</c:v>
                </c:pt>
                <c:pt idx="53">
                  <c:v>4498</c:v>
                </c:pt>
                <c:pt idx="54">
                  <c:v>4498</c:v>
                </c:pt>
                <c:pt idx="55">
                  <c:v>5417.333</c:v>
                </c:pt>
                <c:pt idx="56">
                  <c:v>5417.333</c:v>
                </c:pt>
                <c:pt idx="57">
                  <c:v>6456.8</c:v>
                </c:pt>
                <c:pt idx="58">
                  <c:v>6456.8</c:v>
                </c:pt>
                <c:pt idx="59">
                  <c:v>6456.8</c:v>
                </c:pt>
                <c:pt idx="60">
                  <c:v>6456.8</c:v>
                </c:pt>
                <c:pt idx="61">
                  <c:v>6456.8</c:v>
                </c:pt>
                <c:pt idx="62">
                  <c:v>5040.2</c:v>
                </c:pt>
                <c:pt idx="63">
                  <c:v>5040.2</c:v>
                </c:pt>
                <c:pt idx="64">
                  <c:v>7248.667</c:v>
                </c:pt>
                <c:pt idx="65">
                  <c:v>7248.667</c:v>
                </c:pt>
                <c:pt idx="66">
                  <c:v>8914.6</c:v>
                </c:pt>
                <c:pt idx="67">
                  <c:v>8914.6</c:v>
                </c:pt>
                <c:pt idx="68">
                  <c:v>9853.824</c:v>
                </c:pt>
                <c:pt idx="69">
                  <c:v>9853.824</c:v>
                </c:pt>
                <c:pt idx="70">
                  <c:v>9853.824</c:v>
                </c:pt>
                <c:pt idx="71">
                  <c:v>9853.824</c:v>
                </c:pt>
                <c:pt idx="72">
                  <c:v>9853.824</c:v>
                </c:pt>
                <c:pt idx="73">
                  <c:v>9853.824</c:v>
                </c:pt>
                <c:pt idx="74">
                  <c:v>9853.824</c:v>
                </c:pt>
                <c:pt idx="75">
                  <c:v>9853.824</c:v>
                </c:pt>
                <c:pt idx="76">
                  <c:v>1206.833</c:v>
                </c:pt>
                <c:pt idx="77">
                  <c:v>1206.833</c:v>
                </c:pt>
                <c:pt idx="78">
                  <c:v>1206.833</c:v>
                </c:pt>
                <c:pt idx="79">
                  <c:v>1206.833</c:v>
                </c:pt>
                <c:pt idx="80">
                  <c:v>2814.5</c:v>
                </c:pt>
                <c:pt idx="81">
                  <c:v>2814.5</c:v>
                </c:pt>
                <c:pt idx="82">
                  <c:v>2814.5</c:v>
                </c:pt>
                <c:pt idx="83">
                  <c:v>4498</c:v>
                </c:pt>
                <c:pt idx="84">
                  <c:v>4498</c:v>
                </c:pt>
                <c:pt idx="85">
                  <c:v>5417.333</c:v>
                </c:pt>
                <c:pt idx="86">
                  <c:v>6456.8</c:v>
                </c:pt>
                <c:pt idx="87">
                  <c:v>6456.8</c:v>
                </c:pt>
                <c:pt idx="88">
                  <c:v>6456.8</c:v>
                </c:pt>
                <c:pt idx="89">
                  <c:v>6456.8</c:v>
                </c:pt>
                <c:pt idx="90">
                  <c:v>6456.8</c:v>
                </c:pt>
                <c:pt idx="91">
                  <c:v>2141.5</c:v>
                </c:pt>
                <c:pt idx="92">
                  <c:v>2141.5</c:v>
                </c:pt>
                <c:pt idx="93">
                  <c:v>2141.5</c:v>
                </c:pt>
                <c:pt idx="94">
                  <c:v>2141.5</c:v>
                </c:pt>
                <c:pt idx="95">
                  <c:v>2141.5</c:v>
                </c:pt>
                <c:pt idx="96">
                  <c:v>2141.5</c:v>
                </c:pt>
                <c:pt idx="97">
                  <c:v>2141.5</c:v>
                </c:pt>
                <c:pt idx="98">
                  <c:v>2141.5</c:v>
                </c:pt>
                <c:pt idx="99">
                  <c:v>2366</c:v>
                </c:pt>
                <c:pt idx="100">
                  <c:v>2366</c:v>
                </c:pt>
                <c:pt idx="101">
                  <c:v>2366</c:v>
                </c:pt>
                <c:pt idx="102">
                  <c:v>2366</c:v>
                </c:pt>
                <c:pt idx="103">
                  <c:v>2366</c:v>
                </c:pt>
                <c:pt idx="104">
                  <c:v>2366</c:v>
                </c:pt>
                <c:pt idx="105">
                  <c:v>2366</c:v>
                </c:pt>
                <c:pt idx="106">
                  <c:v>540.333</c:v>
                </c:pt>
                <c:pt idx="107">
                  <c:v>540.333</c:v>
                </c:pt>
                <c:pt idx="108">
                  <c:v>540.333</c:v>
                </c:pt>
                <c:pt idx="109">
                  <c:v>540.333</c:v>
                </c:pt>
                <c:pt idx="110">
                  <c:v>540.333</c:v>
                </c:pt>
                <c:pt idx="111">
                  <c:v>540.333</c:v>
                </c:pt>
                <c:pt idx="112">
                  <c:v>718.5</c:v>
                </c:pt>
                <c:pt idx="113">
                  <c:v>718.5</c:v>
                </c:pt>
                <c:pt idx="114">
                  <c:v>718.5</c:v>
                </c:pt>
                <c:pt idx="115">
                  <c:v>718.5</c:v>
                </c:pt>
                <c:pt idx="116">
                  <c:v>718.5</c:v>
                </c:pt>
                <c:pt idx="117">
                  <c:v>718.5</c:v>
                </c:pt>
                <c:pt idx="118">
                  <c:v>718.5</c:v>
                </c:pt>
                <c:pt idx="119">
                  <c:v>718.5</c:v>
                </c:pt>
                <c:pt idx="121">
                  <c:v>3118</c:v>
                </c:pt>
                <c:pt idx="122">
                  <c:v>5477.545</c:v>
                </c:pt>
                <c:pt idx="123">
                  <c:v>5477.545</c:v>
                </c:pt>
                <c:pt idx="124">
                  <c:v>1040.2</c:v>
                </c:pt>
                <c:pt idx="125">
                  <c:v>1040.2</c:v>
                </c:pt>
                <c:pt idx="126">
                  <c:v>3040.667</c:v>
                </c:pt>
                <c:pt idx="127">
                  <c:v>5040.2</c:v>
                </c:pt>
                <c:pt idx="128">
                  <c:v>8914.6</c:v>
                </c:pt>
                <c:pt idx="129">
                  <c:v>9853.824</c:v>
                </c:pt>
                <c:pt idx="130">
                  <c:v>1206.833</c:v>
                </c:pt>
                <c:pt idx="131">
                  <c:v>1206.833</c:v>
                </c:pt>
                <c:pt idx="132">
                  <c:v>4498</c:v>
                </c:pt>
                <c:pt idx="133">
                  <c:v>6456.8</c:v>
                </c:pt>
                <c:pt idx="134">
                  <c:v>5040.2</c:v>
                </c:pt>
                <c:pt idx="135">
                  <c:v>8914.6</c:v>
                </c:pt>
                <c:pt idx="136">
                  <c:v>9853.824</c:v>
                </c:pt>
                <c:pt idx="137">
                  <c:v>9853.824</c:v>
                </c:pt>
                <c:pt idx="138">
                  <c:v>1206.833</c:v>
                </c:pt>
                <c:pt idx="139">
                  <c:v>4498</c:v>
                </c:pt>
                <c:pt idx="140">
                  <c:v>5417.333</c:v>
                </c:pt>
                <c:pt idx="141">
                  <c:v>6456.8</c:v>
                </c:pt>
                <c:pt idx="142">
                  <c:v>2141.5</c:v>
                </c:pt>
                <c:pt idx="143">
                  <c:v>2366</c:v>
                </c:pt>
                <c:pt idx="144">
                  <c:v>2366</c:v>
                </c:pt>
                <c:pt idx="145">
                  <c:v>540.333</c:v>
                </c:pt>
                <c:pt idx="146">
                  <c:v>540.333</c:v>
                </c:pt>
                <c:pt idx="147">
                  <c:v>718.5</c:v>
                </c:pt>
                <c:pt idx="148">
                  <c:v>718.5</c:v>
                </c:pt>
                <c:pt idx="149">
                  <c:v>3118</c:v>
                </c:pt>
                <c:pt idx="150">
                  <c:v>5477.545</c:v>
                </c:pt>
                <c:pt idx="151">
                  <c:v>5477.545</c:v>
                </c:pt>
                <c:pt idx="152">
                  <c:v>1040.2</c:v>
                </c:pt>
                <c:pt idx="153">
                  <c:v>2218.2</c:v>
                </c:pt>
                <c:pt idx="154">
                  <c:v>3040.667</c:v>
                </c:pt>
                <c:pt idx="155">
                  <c:v>7248.667</c:v>
                </c:pt>
                <c:pt idx="156">
                  <c:v>9853.824</c:v>
                </c:pt>
                <c:pt idx="157">
                  <c:v>9853.824</c:v>
                </c:pt>
                <c:pt idx="158">
                  <c:v>1206.833</c:v>
                </c:pt>
                <c:pt idx="159">
                  <c:v>2814.5</c:v>
                </c:pt>
                <c:pt idx="160">
                  <c:v>5417.333</c:v>
                </c:pt>
                <c:pt idx="161">
                  <c:v>6456.8</c:v>
                </c:pt>
                <c:pt idx="162">
                  <c:v>5040.2</c:v>
                </c:pt>
                <c:pt idx="163">
                  <c:v>8914.6</c:v>
                </c:pt>
                <c:pt idx="164">
                  <c:v>9853.824</c:v>
                </c:pt>
                <c:pt idx="165">
                  <c:v>9853.824</c:v>
                </c:pt>
                <c:pt idx="166">
                  <c:v>2814.5</c:v>
                </c:pt>
                <c:pt idx="167">
                  <c:v>5417.333</c:v>
                </c:pt>
                <c:pt idx="168">
                  <c:v>6456.8</c:v>
                </c:pt>
                <c:pt idx="169">
                  <c:v>2141.5</c:v>
                </c:pt>
                <c:pt idx="170">
                  <c:v>2141.5</c:v>
                </c:pt>
                <c:pt idx="171">
                  <c:v>2366</c:v>
                </c:pt>
                <c:pt idx="172">
                  <c:v>2366</c:v>
                </c:pt>
                <c:pt idx="173">
                  <c:v>540.333</c:v>
                </c:pt>
                <c:pt idx="174">
                  <c:v>718.5</c:v>
                </c:pt>
                <c:pt idx="175">
                  <c:v>718.5</c:v>
                </c:pt>
                <c:pt idx="176">
                  <c:v>718.5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Sheet4!$I$1</c:f>
              <c:strCache>
                <c:ptCount val="1"/>
                <c:pt idx="0">
                  <c:v>GP_PUK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Sheet4!$I$2:$I$178</c:f>
              <c:numCache>
                <c:formatCode>General</c:formatCode>
                <c:ptCount val="177"/>
                <c:pt idx="0">
                  <c:v>2659.25</c:v>
                </c:pt>
                <c:pt idx="1">
                  <c:v>2876.124</c:v>
                </c:pt>
                <c:pt idx="2">
                  <c:v>3126.861</c:v>
                </c:pt>
                <c:pt idx="3">
                  <c:v>3417.475</c:v>
                </c:pt>
                <c:pt idx="4">
                  <c:v>3750.723</c:v>
                </c:pt>
                <c:pt idx="5">
                  <c:v>4491.292</c:v>
                </c:pt>
                <c:pt idx="6">
                  <c:v>4841.062</c:v>
                </c:pt>
                <c:pt idx="7">
                  <c:v>5136.908</c:v>
                </c:pt>
                <c:pt idx="8">
                  <c:v>5361.993</c:v>
                </c:pt>
                <c:pt idx="9">
                  <c:v>5652.267</c:v>
                </c:pt>
                <c:pt idx="10">
                  <c:v>5675.669</c:v>
                </c:pt>
                <c:pt idx="11">
                  <c:v>5692.819</c:v>
                </c:pt>
                <c:pt idx="12">
                  <c:v>5714.898</c:v>
                </c:pt>
                <c:pt idx="13">
                  <c:v>5745.628</c:v>
                </c:pt>
                <c:pt idx="14">
                  <c:v>5843.71</c:v>
                </c:pt>
                <c:pt idx="15">
                  <c:v>5854.226</c:v>
                </c:pt>
                <c:pt idx="16">
                  <c:v>988.332</c:v>
                </c:pt>
                <c:pt idx="17">
                  <c:v>935.48</c:v>
                </c:pt>
                <c:pt idx="18">
                  <c:v>933.165</c:v>
                </c:pt>
                <c:pt idx="19">
                  <c:v>1132.399</c:v>
                </c:pt>
                <c:pt idx="20">
                  <c:v>1331.97</c:v>
                </c:pt>
                <c:pt idx="21">
                  <c:v>1985.853</c:v>
                </c:pt>
                <c:pt idx="22">
                  <c:v>2116.529</c:v>
                </c:pt>
                <c:pt idx="23">
                  <c:v>2202.47</c:v>
                </c:pt>
                <c:pt idx="24">
                  <c:v>2279.573</c:v>
                </c:pt>
                <c:pt idx="25">
                  <c:v>2387.259</c:v>
                </c:pt>
                <c:pt idx="26">
                  <c:v>2546.867</c:v>
                </c:pt>
                <c:pt idx="27">
                  <c:v>2750.059</c:v>
                </c:pt>
                <c:pt idx="28">
                  <c:v>2963.694</c:v>
                </c:pt>
                <c:pt idx="29">
                  <c:v>3334.438</c:v>
                </c:pt>
                <c:pt idx="30">
                  <c:v>3346.102</c:v>
                </c:pt>
                <c:pt idx="31">
                  <c:v>3332.756</c:v>
                </c:pt>
                <c:pt idx="32">
                  <c:v>4299.03</c:v>
                </c:pt>
                <c:pt idx="33">
                  <c:v>5079.277</c:v>
                </c:pt>
                <c:pt idx="34">
                  <c:v>5941.744</c:v>
                </c:pt>
                <c:pt idx="35">
                  <c:v>7612.104</c:v>
                </c:pt>
                <c:pt idx="36">
                  <c:v>8269.718</c:v>
                </c:pt>
                <c:pt idx="37">
                  <c:v>8752.305</c:v>
                </c:pt>
                <c:pt idx="38">
                  <c:v>9258.843</c:v>
                </c:pt>
                <c:pt idx="39">
                  <c:v>9374.747</c:v>
                </c:pt>
                <c:pt idx="40">
                  <c:v>9526.206</c:v>
                </c:pt>
                <c:pt idx="41">
                  <c:v>9644.551</c:v>
                </c:pt>
                <c:pt idx="42">
                  <c:v>9694.152</c:v>
                </c:pt>
                <c:pt idx="43">
                  <c:v>9740.924</c:v>
                </c:pt>
                <c:pt idx="44">
                  <c:v>9829.015</c:v>
                </c:pt>
                <c:pt idx="45">
                  <c:v>9856.814</c:v>
                </c:pt>
                <c:pt idx="46">
                  <c:v>9855.157</c:v>
                </c:pt>
                <c:pt idx="47">
                  <c:v>9808.521</c:v>
                </c:pt>
                <c:pt idx="48">
                  <c:v>955.346</c:v>
                </c:pt>
                <c:pt idx="49">
                  <c:v>1081.292</c:v>
                </c:pt>
                <c:pt idx="50">
                  <c:v>2208.944</c:v>
                </c:pt>
                <c:pt idx="51">
                  <c:v>2779.456</c:v>
                </c:pt>
                <c:pt idx="52">
                  <c:v>3368.947</c:v>
                </c:pt>
                <c:pt idx="53">
                  <c:v>3918.753</c:v>
                </c:pt>
                <c:pt idx="54">
                  <c:v>4386.694</c:v>
                </c:pt>
                <c:pt idx="55">
                  <c:v>5316.399</c:v>
                </c:pt>
                <c:pt idx="56">
                  <c:v>5561.608</c:v>
                </c:pt>
                <c:pt idx="57">
                  <c:v>6033.453</c:v>
                </c:pt>
                <c:pt idx="58">
                  <c:v>6362.54</c:v>
                </c:pt>
                <c:pt idx="59">
                  <c:v>6436.876</c:v>
                </c:pt>
                <c:pt idx="60">
                  <c:v>6454.639</c:v>
                </c:pt>
                <c:pt idx="61">
                  <c:v>6428.705</c:v>
                </c:pt>
                <c:pt idx="62">
                  <c:v>4621.077</c:v>
                </c:pt>
                <c:pt idx="63">
                  <c:v>5301.118</c:v>
                </c:pt>
                <c:pt idx="64">
                  <c:v>6954.13</c:v>
                </c:pt>
                <c:pt idx="65">
                  <c:v>7802.439</c:v>
                </c:pt>
                <c:pt idx="66">
                  <c:v>8558.433</c:v>
                </c:pt>
                <c:pt idx="67">
                  <c:v>9155.328</c:v>
                </c:pt>
                <c:pt idx="68">
                  <c:v>9885.361</c:v>
                </c:pt>
                <c:pt idx="69">
                  <c:v>9902.53</c:v>
                </c:pt>
                <c:pt idx="70">
                  <c:v>9892.718</c:v>
                </c:pt>
                <c:pt idx="71">
                  <c:v>9889.379</c:v>
                </c:pt>
                <c:pt idx="72">
                  <c:v>10010.907</c:v>
                </c:pt>
                <c:pt idx="73">
                  <c:v>10136.959</c:v>
                </c:pt>
                <c:pt idx="74">
                  <c:v>10166.26</c:v>
                </c:pt>
                <c:pt idx="75">
                  <c:v>10106.601</c:v>
                </c:pt>
                <c:pt idx="76">
                  <c:v>1272.41</c:v>
                </c:pt>
                <c:pt idx="77">
                  <c:v>1212.406</c:v>
                </c:pt>
                <c:pt idx="78">
                  <c:v>1223.915</c:v>
                </c:pt>
                <c:pt idx="79">
                  <c:v>1572.864</c:v>
                </c:pt>
                <c:pt idx="80">
                  <c:v>2448.442</c:v>
                </c:pt>
                <c:pt idx="81">
                  <c:v>3035.342</c:v>
                </c:pt>
                <c:pt idx="82">
                  <c:v>3646.811</c:v>
                </c:pt>
                <c:pt idx="83">
                  <c:v>4215.915</c:v>
                </c:pt>
                <c:pt idx="84">
                  <c:v>4692.146</c:v>
                </c:pt>
                <c:pt idx="85">
                  <c:v>5770.116</c:v>
                </c:pt>
                <c:pt idx="86">
                  <c:v>5997.442</c:v>
                </c:pt>
                <c:pt idx="87">
                  <c:v>6454.453</c:v>
                </c:pt>
                <c:pt idx="88">
                  <c:v>6630.315</c:v>
                </c:pt>
                <c:pt idx="89">
                  <c:v>6740.542</c:v>
                </c:pt>
                <c:pt idx="90">
                  <c:v>6757.037</c:v>
                </c:pt>
                <c:pt idx="91">
                  <c:v>2112.233</c:v>
                </c:pt>
                <c:pt idx="92">
                  <c:v>2104.629</c:v>
                </c:pt>
                <c:pt idx="93">
                  <c:v>2113.917</c:v>
                </c:pt>
                <c:pt idx="94">
                  <c:v>2139.4</c:v>
                </c:pt>
                <c:pt idx="95">
                  <c:v>2151.437</c:v>
                </c:pt>
                <c:pt idx="96">
                  <c:v>2162.726</c:v>
                </c:pt>
                <c:pt idx="97">
                  <c:v>2174.335</c:v>
                </c:pt>
                <c:pt idx="98">
                  <c:v>2187.638</c:v>
                </c:pt>
                <c:pt idx="99">
                  <c:v>2223.551</c:v>
                </c:pt>
                <c:pt idx="100">
                  <c:v>2300.741</c:v>
                </c:pt>
                <c:pt idx="101">
                  <c:v>2328.677</c:v>
                </c:pt>
                <c:pt idx="102">
                  <c:v>2356.017</c:v>
                </c:pt>
                <c:pt idx="103">
                  <c:v>2414.052</c:v>
                </c:pt>
                <c:pt idx="104">
                  <c:v>2452.272</c:v>
                </c:pt>
                <c:pt idx="105">
                  <c:v>2503.362</c:v>
                </c:pt>
                <c:pt idx="106">
                  <c:v>486.059</c:v>
                </c:pt>
                <c:pt idx="107">
                  <c:v>458.6</c:v>
                </c:pt>
                <c:pt idx="108">
                  <c:v>518.58</c:v>
                </c:pt>
                <c:pt idx="109">
                  <c:v>583.244</c:v>
                </c:pt>
                <c:pt idx="110">
                  <c:v>605.209</c:v>
                </c:pt>
                <c:pt idx="111">
                  <c:v>619.308</c:v>
                </c:pt>
                <c:pt idx="112">
                  <c:v>633.349</c:v>
                </c:pt>
                <c:pt idx="113">
                  <c:v>651.831</c:v>
                </c:pt>
                <c:pt idx="114">
                  <c:v>669.445</c:v>
                </c:pt>
                <c:pt idx="115">
                  <c:v>716.583</c:v>
                </c:pt>
                <c:pt idx="116">
                  <c:v>751.856</c:v>
                </c:pt>
                <c:pt idx="117">
                  <c:v>759.666</c:v>
                </c:pt>
                <c:pt idx="118">
                  <c:v>767.207</c:v>
                </c:pt>
                <c:pt idx="119">
                  <c:v>827.617</c:v>
                </c:pt>
                <c:pt idx="121">
                  <c:v>4116.903</c:v>
                </c:pt>
                <c:pt idx="122">
                  <c:v>5605.271</c:v>
                </c:pt>
                <c:pt idx="123">
                  <c:v>5817.523</c:v>
                </c:pt>
                <c:pt idx="124">
                  <c:v>1076.169</c:v>
                </c:pt>
                <c:pt idx="125">
                  <c:v>1567.063</c:v>
                </c:pt>
                <c:pt idx="126">
                  <c:v>3147.444</c:v>
                </c:pt>
                <c:pt idx="127">
                  <c:v>3650.419</c:v>
                </c:pt>
                <c:pt idx="128">
                  <c:v>9068.397</c:v>
                </c:pt>
                <c:pt idx="129">
                  <c:v>9786.966</c:v>
                </c:pt>
                <c:pt idx="130">
                  <c:v>935.723</c:v>
                </c:pt>
                <c:pt idx="131">
                  <c:v>1332.426</c:v>
                </c:pt>
                <c:pt idx="132">
                  <c:v>4760.77</c:v>
                </c:pt>
                <c:pt idx="133">
                  <c:v>6225.816</c:v>
                </c:pt>
                <c:pt idx="134">
                  <c:v>4078.861</c:v>
                </c:pt>
                <c:pt idx="135">
                  <c:v>9790.853</c:v>
                </c:pt>
                <c:pt idx="136">
                  <c:v>9908.005</c:v>
                </c:pt>
                <c:pt idx="137">
                  <c:v>10171.906</c:v>
                </c:pt>
                <c:pt idx="138">
                  <c:v>1335.567</c:v>
                </c:pt>
                <c:pt idx="139">
                  <c:v>5058.15</c:v>
                </c:pt>
                <c:pt idx="140">
                  <c:v>5555.89</c:v>
                </c:pt>
                <c:pt idx="141">
                  <c:v>6779.913</c:v>
                </c:pt>
                <c:pt idx="142">
                  <c:v>2102.651</c:v>
                </c:pt>
                <c:pt idx="143">
                  <c:v>2203.819</c:v>
                </c:pt>
                <c:pt idx="144">
                  <c:v>2383.52</c:v>
                </c:pt>
                <c:pt idx="145">
                  <c:v>461.406</c:v>
                </c:pt>
                <c:pt idx="146">
                  <c:v>553.415</c:v>
                </c:pt>
                <c:pt idx="147">
                  <c:v>692.225</c:v>
                </c:pt>
                <c:pt idx="148">
                  <c:v>737.655</c:v>
                </c:pt>
                <c:pt idx="149">
                  <c:v>2474.972</c:v>
                </c:pt>
                <c:pt idx="150">
                  <c:v>5514.553</c:v>
                </c:pt>
                <c:pt idx="151">
                  <c:v>5782.156</c:v>
                </c:pt>
                <c:pt idx="152">
                  <c:v>996.451</c:v>
                </c:pt>
                <c:pt idx="153">
                  <c:v>1797.316</c:v>
                </c:pt>
                <c:pt idx="154">
                  <c:v>3273.015</c:v>
                </c:pt>
                <c:pt idx="155">
                  <c:v>6813.335</c:v>
                </c:pt>
                <c:pt idx="156">
                  <c:v>9456.761</c:v>
                </c:pt>
                <c:pt idx="157">
                  <c:v>9588.878</c:v>
                </c:pt>
                <c:pt idx="158">
                  <c:v>997.154</c:v>
                </c:pt>
                <c:pt idx="159">
                  <c:v>1713.611</c:v>
                </c:pt>
                <c:pt idx="160">
                  <c:v>5059.269</c:v>
                </c:pt>
                <c:pt idx="161">
                  <c:v>5804.54</c:v>
                </c:pt>
                <c:pt idx="162">
                  <c:v>6095.658</c:v>
                </c:pt>
                <c:pt idx="163">
                  <c:v>9562.24</c:v>
                </c:pt>
                <c:pt idx="164">
                  <c:v>9950.597</c:v>
                </c:pt>
                <c:pt idx="165">
                  <c:v>10077.82</c:v>
                </c:pt>
                <c:pt idx="166">
                  <c:v>1947.731</c:v>
                </c:pt>
                <c:pt idx="167">
                  <c:v>5332.387</c:v>
                </c:pt>
                <c:pt idx="168">
                  <c:v>6233.653</c:v>
                </c:pt>
                <c:pt idx="169">
                  <c:v>2136.65</c:v>
                </c:pt>
                <c:pt idx="170">
                  <c:v>2126.465</c:v>
                </c:pt>
                <c:pt idx="171">
                  <c:v>2246.841</c:v>
                </c:pt>
                <c:pt idx="172">
                  <c:v>2272.993</c:v>
                </c:pt>
                <c:pt idx="173">
                  <c:v>484.892</c:v>
                </c:pt>
                <c:pt idx="174">
                  <c:v>627.59</c:v>
                </c:pt>
                <c:pt idx="175">
                  <c:v>640.341</c:v>
                </c:pt>
                <c:pt idx="176">
                  <c:v>785.535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Sheet4!$J$1</c:f>
              <c:strCache>
                <c:ptCount val="1"/>
                <c:pt idx="0">
                  <c:v>GP_RBF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Sheet4!$A$2:$A$178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Sheet4!$J$2:$J$178</c:f>
              <c:numCache>
                <c:formatCode>General</c:formatCode>
                <c:ptCount val="177"/>
                <c:pt idx="0">
                  <c:v>2521.285</c:v>
                </c:pt>
                <c:pt idx="1">
                  <c:v>2878.83</c:v>
                </c:pt>
                <c:pt idx="2">
                  <c:v>3231.297</c:v>
                </c:pt>
                <c:pt idx="3">
                  <c:v>3573.393</c:v>
                </c:pt>
                <c:pt idx="4">
                  <c:v>3900.265</c:v>
                </c:pt>
                <c:pt idx="5">
                  <c:v>4491.902</c:v>
                </c:pt>
                <c:pt idx="6">
                  <c:v>4750.228</c:v>
                </c:pt>
                <c:pt idx="7">
                  <c:v>4980.585</c:v>
                </c:pt>
                <c:pt idx="8">
                  <c:v>5181.779</c:v>
                </c:pt>
                <c:pt idx="9">
                  <c:v>5610.529</c:v>
                </c:pt>
                <c:pt idx="10">
                  <c:v>5698.853</c:v>
                </c:pt>
                <c:pt idx="11">
                  <c:v>5763.233</c:v>
                </c:pt>
                <c:pt idx="12">
                  <c:v>5806.356</c:v>
                </c:pt>
                <c:pt idx="13">
                  <c:v>5831.178</c:v>
                </c:pt>
                <c:pt idx="14">
                  <c:v>5826.833</c:v>
                </c:pt>
                <c:pt idx="15">
                  <c:v>5809.076</c:v>
                </c:pt>
                <c:pt idx="16">
                  <c:v>835.157</c:v>
                </c:pt>
                <c:pt idx="17">
                  <c:v>915.286</c:v>
                </c:pt>
                <c:pt idx="18">
                  <c:v>1013.244</c:v>
                </c:pt>
                <c:pt idx="19">
                  <c:v>1254.963</c:v>
                </c:pt>
                <c:pt idx="20">
                  <c:v>1394.298</c:v>
                </c:pt>
                <c:pt idx="21">
                  <c:v>1856.846</c:v>
                </c:pt>
                <c:pt idx="22">
                  <c:v>2017.562</c:v>
                </c:pt>
                <c:pt idx="23">
                  <c:v>2177.579</c:v>
                </c:pt>
                <c:pt idx="24">
                  <c:v>2334.754</c:v>
                </c:pt>
                <c:pt idx="25">
                  <c:v>2487.17</c:v>
                </c:pt>
                <c:pt idx="26">
                  <c:v>2633.175</c:v>
                </c:pt>
                <c:pt idx="27">
                  <c:v>2771.405</c:v>
                </c:pt>
                <c:pt idx="28">
                  <c:v>2900.801</c:v>
                </c:pt>
                <c:pt idx="29">
                  <c:v>3229.991</c:v>
                </c:pt>
                <c:pt idx="30">
                  <c:v>3319.506</c:v>
                </c:pt>
                <c:pt idx="31">
                  <c:v>3399.284</c:v>
                </c:pt>
                <c:pt idx="32">
                  <c:v>4615.366</c:v>
                </c:pt>
                <c:pt idx="33">
                  <c:v>5350.172</c:v>
                </c:pt>
                <c:pt idx="34">
                  <c:v>6049.757</c:v>
                </c:pt>
                <c:pt idx="35">
                  <c:v>7307.687</c:v>
                </c:pt>
                <c:pt idx="36">
                  <c:v>7852.031</c:v>
                </c:pt>
                <c:pt idx="37">
                  <c:v>8333.471</c:v>
                </c:pt>
                <c:pt idx="38">
                  <c:v>9099.06</c:v>
                </c:pt>
                <c:pt idx="39">
                  <c:v>9383.402</c:v>
                </c:pt>
                <c:pt idx="40">
                  <c:v>9767.938</c:v>
                </c:pt>
                <c:pt idx="41">
                  <c:v>9939.44</c:v>
                </c:pt>
                <c:pt idx="42">
                  <c:v>9960.939</c:v>
                </c:pt>
                <c:pt idx="43">
                  <c:v>9948.974</c:v>
                </c:pt>
                <c:pt idx="44">
                  <c:v>9853.047</c:v>
                </c:pt>
                <c:pt idx="45">
                  <c:v>9782.457</c:v>
                </c:pt>
                <c:pt idx="46">
                  <c:v>9704.691</c:v>
                </c:pt>
                <c:pt idx="47">
                  <c:v>9624.656</c:v>
                </c:pt>
                <c:pt idx="48">
                  <c:v>764.091</c:v>
                </c:pt>
                <c:pt idx="49">
                  <c:v>1172.295</c:v>
                </c:pt>
                <c:pt idx="50">
                  <c:v>2485.26</c:v>
                </c:pt>
                <c:pt idx="51">
                  <c:v>2930.72</c:v>
                </c:pt>
                <c:pt idx="52">
                  <c:v>3369.292</c:v>
                </c:pt>
                <c:pt idx="53">
                  <c:v>3794.851</c:v>
                </c:pt>
                <c:pt idx="54">
                  <c:v>4201.714</c:v>
                </c:pt>
                <c:pt idx="55">
                  <c:v>5262.366</c:v>
                </c:pt>
                <c:pt idx="56">
                  <c:v>5550.353</c:v>
                </c:pt>
                <c:pt idx="57">
                  <c:v>6014.52</c:v>
                </c:pt>
                <c:pt idx="58">
                  <c:v>6325.81</c:v>
                </c:pt>
                <c:pt idx="59">
                  <c:v>6425.631</c:v>
                </c:pt>
                <c:pt idx="60">
                  <c:v>6490.418</c:v>
                </c:pt>
                <c:pt idx="61">
                  <c:v>6522.515</c:v>
                </c:pt>
                <c:pt idx="62">
                  <c:v>4925.688</c:v>
                </c:pt>
                <c:pt idx="63">
                  <c:v>5648.856</c:v>
                </c:pt>
                <c:pt idx="64">
                  <c:v>6992.351</c:v>
                </c:pt>
                <c:pt idx="65">
                  <c:v>7595.407</c:v>
                </c:pt>
                <c:pt idx="66">
                  <c:v>8143.473</c:v>
                </c:pt>
                <c:pt idx="67">
                  <c:v>8631.63</c:v>
                </c:pt>
                <c:pt idx="68">
                  <c:v>9712.954</c:v>
                </c:pt>
                <c:pt idx="69">
                  <c:v>9946.124</c:v>
                </c:pt>
                <c:pt idx="70">
                  <c:v>10119.7</c:v>
                </c:pt>
                <c:pt idx="71">
                  <c:v>10238.043</c:v>
                </c:pt>
                <c:pt idx="72">
                  <c:v>10318.382</c:v>
                </c:pt>
                <c:pt idx="73">
                  <c:v>10207.574</c:v>
                </c:pt>
                <c:pt idx="74">
                  <c:v>10025.129</c:v>
                </c:pt>
                <c:pt idx="75">
                  <c:v>9920.935</c:v>
                </c:pt>
                <c:pt idx="76">
                  <c:v>850.865</c:v>
                </c:pt>
                <c:pt idx="77">
                  <c:v>1095.338</c:v>
                </c:pt>
                <c:pt idx="78">
                  <c:v>1376.995</c:v>
                </c:pt>
                <c:pt idx="79">
                  <c:v>2035.333</c:v>
                </c:pt>
                <c:pt idx="80">
                  <c:v>2785.973</c:v>
                </c:pt>
                <c:pt idx="81">
                  <c:v>3181.119</c:v>
                </c:pt>
                <c:pt idx="82">
                  <c:v>3581.015</c:v>
                </c:pt>
                <c:pt idx="83">
                  <c:v>3979.234</c:v>
                </c:pt>
                <c:pt idx="84">
                  <c:v>4369.487</c:v>
                </c:pt>
                <c:pt idx="85">
                  <c:v>5738.574</c:v>
                </c:pt>
                <c:pt idx="86">
                  <c:v>6009.969</c:v>
                </c:pt>
                <c:pt idx="87">
                  <c:v>6446.245</c:v>
                </c:pt>
                <c:pt idx="88">
                  <c:v>6608.369</c:v>
                </c:pt>
                <c:pt idx="89">
                  <c:v>6732.73</c:v>
                </c:pt>
                <c:pt idx="90">
                  <c:v>6871.627</c:v>
                </c:pt>
                <c:pt idx="91">
                  <c:v>2061.251</c:v>
                </c:pt>
                <c:pt idx="92">
                  <c:v>2095.465</c:v>
                </c:pt>
                <c:pt idx="93">
                  <c:v>2113.5</c:v>
                </c:pt>
                <c:pt idx="94">
                  <c:v>2148.428</c:v>
                </c:pt>
                <c:pt idx="95">
                  <c:v>2164.614</c:v>
                </c:pt>
                <c:pt idx="96">
                  <c:v>2179.785</c:v>
                </c:pt>
                <c:pt idx="97">
                  <c:v>2194.052</c:v>
                </c:pt>
                <c:pt idx="98">
                  <c:v>2207.709</c:v>
                </c:pt>
                <c:pt idx="99">
                  <c:v>2235.166</c:v>
                </c:pt>
                <c:pt idx="100">
                  <c:v>2287.153</c:v>
                </c:pt>
                <c:pt idx="101">
                  <c:v>2310.574</c:v>
                </c:pt>
                <c:pt idx="102">
                  <c:v>2338.377</c:v>
                </c:pt>
                <c:pt idx="103">
                  <c:v>2409.859</c:v>
                </c:pt>
                <c:pt idx="104">
                  <c:v>2454.6</c:v>
                </c:pt>
                <c:pt idx="105">
                  <c:v>2505.796</c:v>
                </c:pt>
                <c:pt idx="106">
                  <c:v>505.925</c:v>
                </c:pt>
                <c:pt idx="107">
                  <c:v>497.837</c:v>
                </c:pt>
                <c:pt idx="108">
                  <c:v>515.563</c:v>
                </c:pt>
                <c:pt idx="109">
                  <c:v>549.66</c:v>
                </c:pt>
                <c:pt idx="110">
                  <c:v>569.751</c:v>
                </c:pt>
                <c:pt idx="111">
                  <c:v>590.494</c:v>
                </c:pt>
                <c:pt idx="112">
                  <c:v>630.851</c:v>
                </c:pt>
                <c:pt idx="113">
                  <c:v>666.683</c:v>
                </c:pt>
                <c:pt idx="114">
                  <c:v>682.636</c:v>
                </c:pt>
                <c:pt idx="115">
                  <c:v>712.068</c:v>
                </c:pt>
                <c:pt idx="116">
                  <c:v>742.447</c:v>
                </c:pt>
                <c:pt idx="117">
                  <c:v>760.148</c:v>
                </c:pt>
                <c:pt idx="118">
                  <c:v>780.866</c:v>
                </c:pt>
                <c:pt idx="119">
                  <c:v>835.561</c:v>
                </c:pt>
                <c:pt idx="121">
                  <c:v>4207.634</c:v>
                </c:pt>
                <c:pt idx="122">
                  <c:v>5495.978</c:v>
                </c:pt>
                <c:pt idx="123">
                  <c:v>5838.348</c:v>
                </c:pt>
                <c:pt idx="124">
                  <c:v>774.405</c:v>
                </c:pt>
                <c:pt idx="125">
                  <c:v>1542.733</c:v>
                </c:pt>
                <c:pt idx="126">
                  <c:v>3020.613</c:v>
                </c:pt>
                <c:pt idx="127">
                  <c:v>3855.779</c:v>
                </c:pt>
                <c:pt idx="128">
                  <c:v>8749.407</c:v>
                </c:pt>
                <c:pt idx="129">
                  <c:v>9910.702</c:v>
                </c:pt>
                <c:pt idx="130">
                  <c:v>380.91</c:v>
                </c:pt>
                <c:pt idx="131">
                  <c:v>1599.495</c:v>
                </c:pt>
                <c:pt idx="132">
                  <c:v>4584.76</c:v>
                </c:pt>
                <c:pt idx="133">
                  <c:v>6189.157</c:v>
                </c:pt>
                <c:pt idx="134">
                  <c:v>4181.627</c:v>
                </c:pt>
                <c:pt idx="135">
                  <c:v>9417.042</c:v>
                </c:pt>
                <c:pt idx="136">
                  <c:v>10306.492</c:v>
                </c:pt>
                <c:pt idx="137">
                  <c:v>10122.364</c:v>
                </c:pt>
                <c:pt idx="138">
                  <c:v>1691.892</c:v>
                </c:pt>
                <c:pt idx="139">
                  <c:v>4745.788</c:v>
                </c:pt>
                <c:pt idx="140">
                  <c:v>5434.95</c:v>
                </c:pt>
                <c:pt idx="141">
                  <c:v>6820.012</c:v>
                </c:pt>
                <c:pt idx="142">
                  <c:v>2077.801</c:v>
                </c:pt>
                <c:pt idx="143">
                  <c:v>2221.214</c:v>
                </c:pt>
                <c:pt idx="144">
                  <c:v>2371.272</c:v>
                </c:pt>
                <c:pt idx="145">
                  <c:v>497.585</c:v>
                </c:pt>
                <c:pt idx="146">
                  <c:v>531.219</c:v>
                </c:pt>
                <c:pt idx="147">
                  <c:v>697.596</c:v>
                </c:pt>
                <c:pt idx="148">
                  <c:v>726.738</c:v>
                </c:pt>
                <c:pt idx="149">
                  <c:v>2164.256</c:v>
                </c:pt>
                <c:pt idx="150">
                  <c:v>5353.439</c:v>
                </c:pt>
                <c:pt idx="151">
                  <c:v>5840.803</c:v>
                </c:pt>
                <c:pt idx="152">
                  <c:v>1127.175</c:v>
                </c:pt>
                <c:pt idx="153">
                  <c:v>1697.753</c:v>
                </c:pt>
                <c:pt idx="154">
                  <c:v>3130.395</c:v>
                </c:pt>
                <c:pt idx="155">
                  <c:v>6704.867</c:v>
                </c:pt>
                <c:pt idx="156">
                  <c:v>9605.022</c:v>
                </c:pt>
                <c:pt idx="157">
                  <c:v>9877.365</c:v>
                </c:pt>
                <c:pt idx="158">
                  <c:v>28.291</c:v>
                </c:pt>
                <c:pt idx="159">
                  <c:v>2039.331</c:v>
                </c:pt>
                <c:pt idx="160">
                  <c:v>4939.542</c:v>
                </c:pt>
                <c:pt idx="161">
                  <c:v>5801.466</c:v>
                </c:pt>
                <c:pt idx="162">
                  <c:v>6340.834</c:v>
                </c:pt>
                <c:pt idx="163">
                  <c:v>9056.656</c:v>
                </c:pt>
                <c:pt idx="164">
                  <c:v>10331.104</c:v>
                </c:pt>
                <c:pt idx="165">
                  <c:v>10275.006</c:v>
                </c:pt>
                <c:pt idx="166">
                  <c:v>2401.976</c:v>
                </c:pt>
                <c:pt idx="167">
                  <c:v>5102.596</c:v>
                </c:pt>
                <c:pt idx="168">
                  <c:v>6246.463</c:v>
                </c:pt>
                <c:pt idx="169">
                  <c:v>2046.663</c:v>
                </c:pt>
                <c:pt idx="170">
                  <c:v>2131.302</c:v>
                </c:pt>
                <c:pt idx="171">
                  <c:v>2250.275</c:v>
                </c:pt>
                <c:pt idx="172">
                  <c:v>2267.329</c:v>
                </c:pt>
                <c:pt idx="173">
                  <c:v>503.924</c:v>
                </c:pt>
                <c:pt idx="174">
                  <c:v>611.068</c:v>
                </c:pt>
                <c:pt idx="175">
                  <c:v>649.445</c:v>
                </c:pt>
                <c:pt idx="176">
                  <c:v>805.657</c:v>
                </c:pt>
              </c:numCache>
            </c:numRef>
          </c:yVal>
          <c:smooth val="1"/>
        </c:ser>
        <c:ser>
          <c:idx val="9"/>
          <c:order val="9"/>
          <c:spPr>
            <a:ln w="19050" cap="rnd" cmpd="sng" algn="ctr">
              <a:solidFill>
                <a:sysClr val="windowText" lastClr="0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Sheet4!$M$24:$M$25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Sheet4!$N$24:$N$25</c:f>
              <c:numCache>
                <c:formatCode>General</c:formatCode>
                <c:ptCount val="2"/>
                <c:pt idx="0">
                  <c:v>-4000</c:v>
                </c:pt>
                <c:pt idx="1">
                  <c:v>14000</c:v>
                </c:pt>
              </c:numCache>
            </c:numRef>
          </c:yVal>
          <c:smooth val="1"/>
        </c:ser>
        <c:ser>
          <c:idx val="10"/>
          <c:order val="10"/>
          <c:spPr>
            <a:ln w="19050" cap="rnd" cmpd="sng" algn="ctr">
              <a:solidFill>
                <a:sysClr val="windowText" lastClr="0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Sheet4!$M$29:$M$30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Sheet4!$N$29:$N$30</c:f>
              <c:numCache>
                <c:formatCode>General</c:formatCode>
                <c:ptCount val="2"/>
                <c:pt idx="0">
                  <c:v>14000</c:v>
                </c:pt>
                <c:pt idx="1">
                  <c:v>14000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47648"/>
        <c:axId val="167549568"/>
      </c:scatterChart>
      <c:valAx>
        <c:axId val="167547648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  <a:r>
                  <a:rPr lang="en-US" baseline="0"/>
                  <a:t> set Number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7549568"/>
        <c:crosses val="autoZero"/>
        <c:crossBetween val="midCat"/>
        <c:majorUnit val="20"/>
      </c:valAx>
      <c:valAx>
        <c:axId val="167549568"/>
        <c:scaling>
          <c:orientation val="minMax"/>
          <c:max val="18000"/>
          <c:min val="-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Bearing</a:t>
                </a:r>
                <a:r>
                  <a:rPr lang="en-US" baseline="0"/>
                  <a:t> resistance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7547648"/>
        <c:crosses val="autoZero"/>
        <c:crossBetween val="midCat"/>
        <c:majorUnit val="2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0977496038034865"/>
          <c:y val="0.0399391221930592"/>
          <c:w val="0.889572107765451"/>
          <c:h val="0.13308435403907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07678433869"/>
          <c:y val="0.0514005540974045"/>
          <c:w val="0.849517641577755"/>
          <c:h val="0.841643336249636"/>
        </c:manualLayout>
      </c:layout>
      <c:scatterChart>
        <c:scatterStyle val="smooth"/>
        <c:varyColors val="0"/>
        <c:ser>
          <c:idx val="0"/>
          <c:order val="0"/>
          <c:tx>
            <c:strRef>
              <c:f>Sheet4!$T$1</c:f>
              <c:strCache>
                <c:ptCount val="1"/>
                <c:pt idx="0">
                  <c:v>Observed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Sheet4!$T$2:$T$178</c:f>
              <c:numCache>
                <c:formatCode>General</c:formatCode>
                <c:ptCount val="177"/>
              </c:numCache>
            </c:numRef>
          </c:yVal>
          <c:smooth val="1"/>
        </c:ser>
        <c:ser>
          <c:idx val="1"/>
          <c:order val="1"/>
          <c:tx>
            <c:strRef>
              <c:f>Sheet4!$U$1</c:f>
              <c:strCache>
                <c:ptCount val="1"/>
                <c:pt idx="0">
                  <c:v>LR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Sheet4!$U$2:$U$178</c:f>
              <c:numCache>
                <c:formatCode>General</c:formatCode>
                <c:ptCount val="177"/>
                <c:pt idx="0">
                  <c:v>-936.501289477558</c:v>
                </c:pt>
                <c:pt idx="1">
                  <c:v>-320.428983785591</c:v>
                </c:pt>
                <c:pt idx="2">
                  <c:v>-441.356678093625</c:v>
                </c:pt>
                <c:pt idx="3">
                  <c:v>-579.284372401659</c:v>
                </c:pt>
                <c:pt idx="4">
                  <c:v>-639.212066709693</c:v>
                </c:pt>
                <c:pt idx="5">
                  <c:v>403.93254467424</c:v>
                </c:pt>
                <c:pt idx="6">
                  <c:v>264.004850366206</c:v>
                </c:pt>
                <c:pt idx="7">
                  <c:v>103.077156058172</c:v>
                </c:pt>
                <c:pt idx="8">
                  <c:v>549.149461750138</c:v>
                </c:pt>
                <c:pt idx="9">
                  <c:v>141.366378826036</c:v>
                </c:pt>
                <c:pt idx="10">
                  <c:v>-5.56131548199664</c:v>
                </c:pt>
                <c:pt idx="11">
                  <c:v>-175.48900979003</c:v>
                </c:pt>
                <c:pt idx="12">
                  <c:v>-342.416704098065</c:v>
                </c:pt>
                <c:pt idx="13">
                  <c:v>-462.344398406098</c:v>
                </c:pt>
                <c:pt idx="14">
                  <c:v>-908.127481330199</c:v>
                </c:pt>
                <c:pt idx="15">
                  <c:v>-1081.05517563823</c:v>
                </c:pt>
                <c:pt idx="16">
                  <c:v>872.912866695709</c:v>
                </c:pt>
                <c:pt idx="17">
                  <c:v>723.985172387676</c:v>
                </c:pt>
                <c:pt idx="18">
                  <c:v>556.057478079642</c:v>
                </c:pt>
                <c:pt idx="19">
                  <c:v>284.202089463574</c:v>
                </c:pt>
                <c:pt idx="20">
                  <c:v>249.27439515554</c:v>
                </c:pt>
                <c:pt idx="21">
                  <c:v>629.491312231439</c:v>
                </c:pt>
                <c:pt idx="22">
                  <c:v>465.563617923405</c:v>
                </c:pt>
                <c:pt idx="23">
                  <c:v>339.635923615371</c:v>
                </c:pt>
                <c:pt idx="24">
                  <c:v>224.708229307338</c:v>
                </c:pt>
                <c:pt idx="25">
                  <c:v>79.7805349993041</c:v>
                </c:pt>
                <c:pt idx="26">
                  <c:v>-89.1471593087299</c:v>
                </c:pt>
                <c:pt idx="27">
                  <c:v>185.925146383237</c:v>
                </c:pt>
                <c:pt idx="28">
                  <c:v>431.997452075202</c:v>
                </c:pt>
                <c:pt idx="29">
                  <c:v>-21.785630848899</c:v>
                </c:pt>
                <c:pt idx="30">
                  <c:v>-155.713325156932</c:v>
                </c:pt>
                <c:pt idx="31">
                  <c:v>-346.641019464967</c:v>
                </c:pt>
                <c:pt idx="32">
                  <c:v>-2033.91673912344</c:v>
                </c:pt>
                <c:pt idx="33">
                  <c:v>-1217.84443343147</c:v>
                </c:pt>
                <c:pt idx="34">
                  <c:v>-809.772127739505</c:v>
                </c:pt>
                <c:pt idx="35">
                  <c:v>463.372483644429</c:v>
                </c:pt>
                <c:pt idx="36">
                  <c:v>1592.44478933639</c:v>
                </c:pt>
                <c:pt idx="37">
                  <c:v>1491.51709502836</c:v>
                </c:pt>
                <c:pt idx="38">
                  <c:v>1205.66170641229</c:v>
                </c:pt>
                <c:pt idx="39">
                  <c:v>1651.73401210426</c:v>
                </c:pt>
                <c:pt idx="40">
                  <c:v>1365.87862348819</c:v>
                </c:pt>
                <c:pt idx="41">
                  <c:v>1097.02323487212</c:v>
                </c:pt>
                <c:pt idx="42">
                  <c:v>930.095540564091</c:v>
                </c:pt>
                <c:pt idx="43">
                  <c:v>760.167846256056</c:v>
                </c:pt>
                <c:pt idx="44">
                  <c:v>543.312457639988</c:v>
                </c:pt>
                <c:pt idx="45">
                  <c:v>368.384763331955</c:v>
                </c:pt>
                <c:pt idx="46">
                  <c:v>194.457069023922</c:v>
                </c:pt>
                <c:pt idx="47">
                  <c:v>21.5293747158867</c:v>
                </c:pt>
                <c:pt idx="48">
                  <c:v>-2173.4302772582</c:v>
                </c:pt>
                <c:pt idx="49">
                  <c:v>-2288.35797156624</c:v>
                </c:pt>
                <c:pt idx="50">
                  <c:v>-1648.14105449034</c:v>
                </c:pt>
                <c:pt idx="51">
                  <c:v>-1370.06874879837</c:v>
                </c:pt>
                <c:pt idx="52">
                  <c:v>-1082.99644310641</c:v>
                </c:pt>
                <c:pt idx="53">
                  <c:v>-67.9241374144403</c:v>
                </c:pt>
                <c:pt idx="54">
                  <c:v>-231.851831722473</c:v>
                </c:pt>
                <c:pt idx="55">
                  <c:v>182.365085353424</c:v>
                </c:pt>
                <c:pt idx="56">
                  <c:v>13.4373910453905</c:v>
                </c:pt>
                <c:pt idx="57">
                  <c:v>597.582002429323</c:v>
                </c:pt>
                <c:pt idx="58">
                  <c:v>319.726613813255</c:v>
                </c:pt>
                <c:pt idx="59">
                  <c:v>189.798919505221</c:v>
                </c:pt>
                <c:pt idx="60">
                  <c:v>46.8712251971883</c:v>
                </c:pt>
                <c:pt idx="61">
                  <c:v>-111.056469110847</c:v>
                </c:pt>
                <c:pt idx="62">
                  <c:v>-1871.95138855331</c:v>
                </c:pt>
                <c:pt idx="63">
                  <c:v>-1055.87908286134</c:v>
                </c:pt>
                <c:pt idx="64">
                  <c:v>-314.734471477408</c:v>
                </c:pt>
                <c:pt idx="65">
                  <c:v>625.337834214559</c:v>
                </c:pt>
                <c:pt idx="66">
                  <c:v>1754.41013990652</c:v>
                </c:pt>
                <c:pt idx="67">
                  <c:v>1660.48244559849</c:v>
                </c:pt>
                <c:pt idx="68">
                  <c:v>1813.69936267439</c:v>
                </c:pt>
                <c:pt idx="69">
                  <c:v>1699.77166836635</c:v>
                </c:pt>
                <c:pt idx="70">
                  <c:v>1527.84397405832</c:v>
                </c:pt>
                <c:pt idx="71">
                  <c:v>1405.91627975029</c:v>
                </c:pt>
                <c:pt idx="72">
                  <c:v>922.133196826186</c:v>
                </c:pt>
                <c:pt idx="73">
                  <c:v>705.277808210118</c:v>
                </c:pt>
                <c:pt idx="74">
                  <c:v>356.422419594051</c:v>
                </c:pt>
                <c:pt idx="75">
                  <c:v>183.494725286017</c:v>
                </c:pt>
                <c:pt idx="76">
                  <c:v>-1694.60953807201</c:v>
                </c:pt>
                <c:pt idx="77">
                  <c:v>-1862.53723238004</c:v>
                </c:pt>
                <c:pt idx="78">
                  <c:v>-2011.46492668807</c:v>
                </c:pt>
                <c:pt idx="79">
                  <c:v>-2171.32031530414</c:v>
                </c:pt>
                <c:pt idx="80">
                  <c:v>-1486.17570392021</c:v>
                </c:pt>
                <c:pt idx="81">
                  <c:v>-1307.10339822824</c:v>
                </c:pt>
                <c:pt idx="82">
                  <c:v>-921.031092536277</c:v>
                </c:pt>
                <c:pt idx="83">
                  <c:v>94.0412131556895</c:v>
                </c:pt>
                <c:pt idx="84">
                  <c:v>-69.8864811523435</c:v>
                </c:pt>
                <c:pt idx="85">
                  <c:v>175.40274161552</c:v>
                </c:pt>
                <c:pt idx="86">
                  <c:v>341.475047307487</c:v>
                </c:pt>
                <c:pt idx="87">
                  <c:v>625.619658691419</c:v>
                </c:pt>
                <c:pt idx="88">
                  <c:v>481.691964383384</c:v>
                </c:pt>
                <c:pt idx="89">
                  <c:v>342.764270075351</c:v>
                </c:pt>
                <c:pt idx="90">
                  <c:v>50.9088814592833</c:v>
                </c:pt>
                <c:pt idx="91">
                  <c:v>845.594246996693</c:v>
                </c:pt>
                <c:pt idx="92">
                  <c:v>500.738858380626</c:v>
                </c:pt>
                <c:pt idx="93">
                  <c:v>321.811164072592</c:v>
                </c:pt>
                <c:pt idx="94">
                  <c:v>-9.04422454347605</c:v>
                </c:pt>
                <c:pt idx="95">
                  <c:v>-181.97191885151</c:v>
                </c:pt>
                <c:pt idx="96">
                  <c:v>-351.899613159544</c:v>
                </c:pt>
                <c:pt idx="97">
                  <c:v>-512.827307467578</c:v>
                </c:pt>
                <c:pt idx="98">
                  <c:v>-688.755001775612</c:v>
                </c:pt>
                <c:pt idx="99">
                  <c:v>-1007.61039039168</c:v>
                </c:pt>
                <c:pt idx="100">
                  <c:v>-1472.39347331578</c:v>
                </c:pt>
                <c:pt idx="101">
                  <c:v>-1638.32116762381</c:v>
                </c:pt>
                <c:pt idx="102">
                  <c:v>-1755.24886193185</c:v>
                </c:pt>
                <c:pt idx="103">
                  <c:v>-2070.10425054792</c:v>
                </c:pt>
                <c:pt idx="104">
                  <c:v>-2220.03194485595</c:v>
                </c:pt>
                <c:pt idx="105">
                  <c:v>-2365.95963916398</c:v>
                </c:pt>
                <c:pt idx="106">
                  <c:v>2648.93609747799</c:v>
                </c:pt>
                <c:pt idx="107">
                  <c:v>2489.00840316996</c:v>
                </c:pt>
                <c:pt idx="108">
                  <c:v>2001.22532024586</c:v>
                </c:pt>
                <c:pt idx="109">
                  <c:v>1709.36993162979</c:v>
                </c:pt>
                <c:pt idx="110">
                  <c:v>1537.44223732176</c:v>
                </c:pt>
                <c:pt idx="111">
                  <c:v>1371.51454301372</c:v>
                </c:pt>
                <c:pt idx="112">
                  <c:v>1041.65915439766</c:v>
                </c:pt>
                <c:pt idx="113">
                  <c:v>688.803765781588</c:v>
                </c:pt>
                <c:pt idx="114">
                  <c:v>513.876071473554</c:v>
                </c:pt>
                <c:pt idx="115">
                  <c:v>210.020682857486</c:v>
                </c:pt>
                <c:pt idx="116">
                  <c:v>-103.834705758581</c:v>
                </c:pt>
                <c:pt idx="117">
                  <c:v>-263.762400066615</c:v>
                </c:pt>
                <c:pt idx="118">
                  <c:v>-441.690094374649</c:v>
                </c:pt>
                <c:pt idx="119">
                  <c:v>-796.545482990716</c:v>
                </c:pt>
                <c:pt idx="121">
                  <c:v>490.263</c:v>
                </c:pt>
                <c:pt idx="122">
                  <c:v>263.696799999999</c:v>
                </c:pt>
                <c:pt idx="123">
                  <c:v>-734.797100000001</c:v>
                </c:pt>
                <c:pt idx="124">
                  <c:v>1041.2435</c:v>
                </c:pt>
                <c:pt idx="125">
                  <c:v>519.749600000001</c:v>
                </c:pt>
                <c:pt idx="126">
                  <c:v>261.472600000001</c:v>
                </c:pt>
                <c:pt idx="127">
                  <c:v>-2737.58625</c:v>
                </c:pt>
                <c:pt idx="128">
                  <c:v>1366.99215</c:v>
                </c:pt>
                <c:pt idx="129">
                  <c:v>640.64285</c:v>
                </c:pt>
                <c:pt idx="130">
                  <c:v>-2024.09965</c:v>
                </c:pt>
                <c:pt idx="131">
                  <c:v>-2332.88275</c:v>
                </c:pt>
                <c:pt idx="132">
                  <c:v>-0.376649999999245</c:v>
                </c:pt>
                <c:pt idx="133">
                  <c:v>464.05715</c:v>
                </c:pt>
                <c:pt idx="134">
                  <c:v>-2575.62105</c:v>
                </c:pt>
                <c:pt idx="135">
                  <c:v>1368.02965</c:v>
                </c:pt>
                <c:pt idx="136">
                  <c:v>1259.39115</c:v>
                </c:pt>
                <c:pt idx="137">
                  <c:v>531.752649999999</c:v>
                </c:pt>
                <c:pt idx="138">
                  <c:v>-2109.98985</c:v>
                </c:pt>
                <c:pt idx="139">
                  <c:v>-29.4114499999987</c:v>
                </c:pt>
                <c:pt idx="140">
                  <c:v>344.733150000001</c:v>
                </c:pt>
                <c:pt idx="141">
                  <c:v>209.239250000001</c:v>
                </c:pt>
                <c:pt idx="142">
                  <c:v>678.9738</c:v>
                </c:pt>
                <c:pt idx="143">
                  <c:v>-842.3755</c:v>
                </c:pt>
                <c:pt idx="144">
                  <c:v>-1919.8694</c:v>
                </c:pt>
                <c:pt idx="145">
                  <c:v>2329.3881</c:v>
                </c:pt>
                <c:pt idx="146">
                  <c:v>1887.605</c:v>
                </c:pt>
                <c:pt idx="147">
                  <c:v>350.255700000001</c:v>
                </c:pt>
                <c:pt idx="148">
                  <c:v>70.4003000000006</c:v>
                </c:pt>
                <c:pt idx="149">
                  <c:v>-840.1708</c:v>
                </c:pt>
                <c:pt idx="150">
                  <c:v>399.624499999999</c:v>
                </c:pt>
                <c:pt idx="151">
                  <c:v>-558.8694</c:v>
                </c:pt>
                <c:pt idx="152">
                  <c:v>409.5327</c:v>
                </c:pt>
                <c:pt idx="153">
                  <c:v>803.8219</c:v>
                </c:pt>
                <c:pt idx="154">
                  <c:v>117.5449</c:v>
                </c:pt>
                <c:pt idx="155">
                  <c:v>-476.29705</c:v>
                </c:pt>
                <c:pt idx="156">
                  <c:v>1512.20905</c:v>
                </c:pt>
                <c:pt idx="157">
                  <c:v>1244.35365</c:v>
                </c:pt>
                <c:pt idx="158">
                  <c:v>-1856.17195</c:v>
                </c:pt>
                <c:pt idx="159">
                  <c:v>-1612.81045</c:v>
                </c:pt>
                <c:pt idx="160">
                  <c:v>327.695650000001</c:v>
                </c:pt>
                <c:pt idx="161">
                  <c:v>279.91255</c:v>
                </c:pt>
                <c:pt idx="162">
                  <c:v>-840.404149999999</c:v>
                </c:pt>
                <c:pt idx="163">
                  <c:v>1528.95735</c:v>
                </c:pt>
                <c:pt idx="164">
                  <c:v>1091.46345</c:v>
                </c:pt>
                <c:pt idx="165">
                  <c:v>802.608049999999</c:v>
                </c:pt>
                <c:pt idx="166">
                  <c:v>-1450.84525</c:v>
                </c:pt>
                <c:pt idx="167">
                  <c:v>489.660850000001</c:v>
                </c:pt>
                <c:pt idx="168">
                  <c:v>759.95005</c:v>
                </c:pt>
                <c:pt idx="169">
                  <c:v>965.8292</c:v>
                </c:pt>
                <c:pt idx="170">
                  <c:v>155.190700000001</c:v>
                </c:pt>
                <c:pt idx="171">
                  <c:v>-1165.2309</c:v>
                </c:pt>
                <c:pt idx="172">
                  <c:v>-1318.1586</c:v>
                </c:pt>
                <c:pt idx="173">
                  <c:v>2169.4604</c:v>
                </c:pt>
                <c:pt idx="174">
                  <c:v>1216.8942</c:v>
                </c:pt>
                <c:pt idx="175">
                  <c:v>866.038800000001</c:v>
                </c:pt>
                <c:pt idx="176">
                  <c:v>-619.310499999999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Sheet4!$V$1</c:f>
              <c:strCache>
                <c:ptCount val="1"/>
                <c:pt idx="0">
                  <c:v>NLR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Sheet4!$V$2:$V$178</c:f>
              <c:numCache>
                <c:formatCode>General</c:formatCode>
                <c:ptCount val="177"/>
                <c:pt idx="0">
                  <c:v>-138.920651851745</c:v>
                </c:pt>
                <c:pt idx="1">
                  <c:v>242.5634304036</c:v>
                </c:pt>
                <c:pt idx="2">
                  <c:v>-32.88755680551</c:v>
                </c:pt>
                <c:pt idx="3">
                  <c:v>-276.132822565338</c:v>
                </c:pt>
                <c:pt idx="4">
                  <c:v>-407.442935073944</c:v>
                </c:pt>
                <c:pt idx="5">
                  <c:v>562.638886703577</c:v>
                </c:pt>
                <c:pt idx="6">
                  <c:v>411.573352412262</c:v>
                </c:pt>
                <c:pt idx="7">
                  <c:v>252.413303517834</c:v>
                </c:pt>
                <c:pt idx="8">
                  <c:v>711.115725783832</c:v>
                </c:pt>
                <c:pt idx="9">
                  <c:v>392.315499139888</c:v>
                </c:pt>
                <c:pt idx="10">
                  <c:v>288.72529518363</c:v>
                </c:pt>
                <c:pt idx="11">
                  <c:v>167.738342342197</c:v>
                </c:pt>
                <c:pt idx="12">
                  <c:v>54.7949141249737</c:v>
                </c:pt>
                <c:pt idx="13">
                  <c:v>-6.57963903599648</c:v>
                </c:pt>
                <c:pt idx="14">
                  <c:v>-253.087670436149</c:v>
                </c:pt>
                <c:pt idx="15">
                  <c:v>-352.744969959458</c:v>
                </c:pt>
                <c:pt idx="16">
                  <c:v>-343.550778707707</c:v>
                </c:pt>
                <c:pt idx="17">
                  <c:v>-522.349104095873</c:v>
                </c:pt>
                <c:pt idx="18">
                  <c:v>-679.624285185816</c:v>
                </c:pt>
                <c:pt idx="19">
                  <c:v>-863.19026135196</c:v>
                </c:pt>
                <c:pt idx="20">
                  <c:v>-832.677247688794</c:v>
                </c:pt>
                <c:pt idx="21">
                  <c:v>-204.178091155102</c:v>
                </c:pt>
                <c:pt idx="22">
                  <c:v>-272.852165533378</c:v>
                </c:pt>
                <c:pt idx="23">
                  <c:v>-298.821409064702</c:v>
                </c:pt>
                <c:pt idx="24">
                  <c:v>-309.709056425679</c:v>
                </c:pt>
                <c:pt idx="25">
                  <c:v>-347.015014258443</c:v>
                </c:pt>
                <c:pt idx="26">
                  <c:v>-405.147211184362</c:v>
                </c:pt>
                <c:pt idx="27">
                  <c:v>-16.4434429511712</c:v>
                </c:pt>
                <c:pt idx="28">
                  <c:v>345.812996904306</c:v>
                </c:pt>
                <c:pt idx="29">
                  <c:v>253.662092612082</c:v>
                </c:pt>
                <c:pt idx="30">
                  <c:v>244.04105083739</c:v>
                </c:pt>
                <c:pt idx="31">
                  <c:v>179.058750345377</c:v>
                </c:pt>
                <c:pt idx="32">
                  <c:v>-341.064964792326</c:v>
                </c:pt>
                <c:pt idx="33">
                  <c:v>-85.8177432392595</c:v>
                </c:pt>
                <c:pt idx="34">
                  <c:v>-95.492012004207</c:v>
                </c:pt>
                <c:pt idx="35">
                  <c:v>578.666915243978</c:v>
                </c:pt>
                <c:pt idx="36">
                  <c:v>1483.43798220499</c:v>
                </c:pt>
                <c:pt idx="37">
                  <c:v>1193.0287275881</c:v>
                </c:pt>
                <c:pt idx="38">
                  <c:v>607.211179189375</c:v>
                </c:pt>
                <c:pt idx="39">
                  <c:v>934.24522823585</c:v>
                </c:pt>
                <c:pt idx="40">
                  <c:v>457.948057107506</c:v>
                </c:pt>
                <c:pt idx="41">
                  <c:v>49.5603431109503</c:v>
                </c:pt>
                <c:pt idx="42">
                  <c:v>-171.517396980467</c:v>
                </c:pt>
                <c:pt idx="43">
                  <c:v>-386.582202420603</c:v>
                </c:pt>
                <c:pt idx="44">
                  <c:v>-669.94399720291</c:v>
                </c:pt>
                <c:pt idx="45">
                  <c:v>-867.594741453682</c:v>
                </c:pt>
                <c:pt idx="46">
                  <c:v>-1057.98068094336</c:v>
                </c:pt>
                <c:pt idx="47">
                  <c:v>-1241.58057730779</c:v>
                </c:pt>
                <c:pt idx="48">
                  <c:v>-1700.80920703581</c:v>
                </c:pt>
                <c:pt idx="49">
                  <c:v>-1938.30919641311</c:v>
                </c:pt>
                <c:pt idx="50">
                  <c:v>-1448.1977926284</c:v>
                </c:pt>
                <c:pt idx="51">
                  <c:v>-1177.16634964592</c:v>
                </c:pt>
                <c:pt idx="52">
                  <c:v>-882.978882136237</c:v>
                </c:pt>
                <c:pt idx="53">
                  <c:v>150.881175214023</c:v>
                </c:pt>
                <c:pt idx="54">
                  <c:v>15.5659827857125</c:v>
                </c:pt>
                <c:pt idx="55">
                  <c:v>561.83190817878</c:v>
                </c:pt>
                <c:pt idx="56">
                  <c:v>449.290531935275</c:v>
                </c:pt>
                <c:pt idx="57">
                  <c:v>1160.90539775011</c:v>
                </c:pt>
                <c:pt idx="58">
                  <c:v>1027.1115362224</c:v>
                </c:pt>
                <c:pt idx="59">
                  <c:v>974.544216217409</c:v>
                </c:pt>
                <c:pt idx="60">
                  <c:v>912.147692535304</c:v>
                </c:pt>
                <c:pt idx="61">
                  <c:v>837.679650260873</c:v>
                </c:pt>
                <c:pt idx="62">
                  <c:v>-241.700136666824</c:v>
                </c:pt>
                <c:pt idx="63">
                  <c:v>-19.1451582231775</c:v>
                </c:pt>
                <c:pt idx="64">
                  <c:v>-74.4360537424309</c:v>
                </c:pt>
                <c:pt idx="65">
                  <c:v>576.644546384764</c:v>
                </c:pt>
                <c:pt idx="66">
                  <c:v>1463.575450021</c:v>
                </c:pt>
                <c:pt idx="67">
                  <c:v>1163.86275718533</c:v>
                </c:pt>
                <c:pt idx="68">
                  <c:v>855.764488098641</c:v>
                </c:pt>
                <c:pt idx="69">
                  <c:v>626.948916179786</c:v>
                </c:pt>
                <c:pt idx="70">
                  <c:v>355.180605635005</c:v>
                </c:pt>
                <c:pt idx="71">
                  <c:v>146.616594644236</c:v>
                </c:pt>
                <c:pt idx="72">
                  <c:v>-531.653247189004</c:v>
                </c:pt>
                <c:pt idx="73">
                  <c:v>-833.832012832789</c:v>
                </c:pt>
                <c:pt idx="74">
                  <c:v>-1239.47970614889</c:v>
                </c:pt>
                <c:pt idx="75">
                  <c:v>-1431.49150231293</c:v>
                </c:pt>
                <c:pt idx="76">
                  <c:v>-624.0055124343</c:v>
                </c:pt>
                <c:pt idx="77">
                  <c:v>-1158.4402855524</c:v>
                </c:pt>
                <c:pt idx="78">
                  <c:v>-1518.90286480682</c:v>
                </c:pt>
                <c:pt idx="79">
                  <c:v>-1904.13465725866</c:v>
                </c:pt>
                <c:pt idx="80">
                  <c:v>-1310.08934065806</c:v>
                </c:pt>
                <c:pt idx="81">
                  <c:v>-1146.30953263084</c:v>
                </c:pt>
                <c:pt idx="82">
                  <c:v>-760.748940765649</c:v>
                </c:pt>
                <c:pt idx="83">
                  <c:v>265.999396813828</c:v>
                </c:pt>
                <c:pt idx="84">
                  <c:v>124.006088283966</c:v>
                </c:pt>
                <c:pt idx="85">
                  <c:v>534.283427105564</c:v>
                </c:pt>
                <c:pt idx="86">
                  <c:v>756.581324935456</c:v>
                </c:pt>
                <c:pt idx="87">
                  <c:v>1167.0179544066</c:v>
                </c:pt>
                <c:pt idx="88">
                  <c:v>1092.32458430915</c:v>
                </c:pt>
                <c:pt idx="89">
                  <c:v>1026.23057758999</c:v>
                </c:pt>
                <c:pt idx="90">
                  <c:v>889.721761901178</c:v>
                </c:pt>
                <c:pt idx="91">
                  <c:v>1039.57737846082</c:v>
                </c:pt>
                <c:pt idx="92">
                  <c:v>743.256918246855</c:v>
                </c:pt>
                <c:pt idx="93">
                  <c:v>625.690013857821</c:v>
                </c:pt>
                <c:pt idx="94">
                  <c:v>456.204462985565</c:v>
                </c:pt>
                <c:pt idx="95">
                  <c:v>377.279227542815</c:v>
                </c:pt>
                <c:pt idx="96">
                  <c:v>307.859683537368</c:v>
                </c:pt>
                <c:pt idx="97">
                  <c:v>252.804517619215</c:v>
                </c:pt>
                <c:pt idx="98">
                  <c:v>187.264517188828</c:v>
                </c:pt>
                <c:pt idx="99">
                  <c:v>100.26443759764</c:v>
                </c:pt>
                <c:pt idx="100">
                  <c:v>4.65909665404479</c:v>
                </c:pt>
                <c:pt idx="101">
                  <c:v>-33.6913687325814</c:v>
                </c:pt>
                <c:pt idx="102">
                  <c:v>-21.1427057655173</c:v>
                </c:pt>
                <c:pt idx="103">
                  <c:v>-72.0007798731144</c:v>
                </c:pt>
                <c:pt idx="104">
                  <c:v>-87.6804911348067</c:v>
                </c:pt>
                <c:pt idx="105">
                  <c:v>-98.0143586971199</c:v>
                </c:pt>
                <c:pt idx="106">
                  <c:v>36.5375612440542</c:v>
                </c:pt>
                <c:pt idx="107">
                  <c:v>-65.1917398818537</c:v>
                </c:pt>
                <c:pt idx="108">
                  <c:v>-230.769992823154</c:v>
                </c:pt>
                <c:pt idx="109">
                  <c:v>-263.229189693849</c:v>
                </c:pt>
                <c:pt idx="110">
                  <c:v>-298.718401405081</c:v>
                </c:pt>
                <c:pt idx="111">
                  <c:v>-324.914897178009</c:v>
                </c:pt>
                <c:pt idx="112">
                  <c:v>-367.59250530865</c:v>
                </c:pt>
                <c:pt idx="113">
                  <c:v>-425.37699535645</c:v>
                </c:pt>
                <c:pt idx="114">
                  <c:v>-450.432160571123</c:v>
                </c:pt>
                <c:pt idx="115">
                  <c:v>-450.725223011949</c:v>
                </c:pt>
                <c:pt idx="116">
                  <c:v>-456.756146484941</c:v>
                </c:pt>
                <c:pt idx="117">
                  <c:v>-461.415313953995</c:v>
                </c:pt>
                <c:pt idx="118">
                  <c:v>-483.272651067275</c:v>
                </c:pt>
                <c:pt idx="119">
                  <c:v>-523.831089937902</c:v>
                </c:pt>
                <c:pt idx="121">
                  <c:v>675.355649240635</c:v>
                </c:pt>
                <c:pt idx="122">
                  <c:v>477.176365231165</c:v>
                </c:pt>
                <c:pt idx="123">
                  <c:v>-150.192574112143</c:v>
                </c:pt>
                <c:pt idx="124">
                  <c:v>-62.6974987022888</c:v>
                </c:pt>
                <c:pt idx="125">
                  <c:v>-487.302495486048</c:v>
                </c:pt>
                <c:pt idx="126">
                  <c:v>293.381874701667</c:v>
                </c:pt>
                <c:pt idx="127">
                  <c:v>-191.062999142956</c:v>
                </c:pt>
                <c:pt idx="128">
                  <c:v>906.588702409313</c:v>
                </c:pt>
                <c:pt idx="129">
                  <c:v>-543.482286682591</c:v>
                </c:pt>
                <c:pt idx="130">
                  <c:v>-1356.89310419864</c:v>
                </c:pt>
                <c:pt idx="131">
                  <c:v>-2061.30421859054</c:v>
                </c:pt>
                <c:pt idx="132">
                  <c:v>283.658468742736</c:v>
                </c:pt>
                <c:pt idx="133">
                  <c:v>1097.12608046283</c:v>
                </c:pt>
                <c:pt idx="134">
                  <c:v>-46.0637237089982</c:v>
                </c:pt>
                <c:pt idx="135">
                  <c:v>541.924945822009</c:v>
                </c:pt>
                <c:pt idx="136">
                  <c:v>-75.2469913385357</c:v>
                </c:pt>
                <c:pt idx="137">
                  <c:v>-1039.42650672599</c:v>
                </c:pt>
                <c:pt idx="138">
                  <c:v>-1753.7533315378</c:v>
                </c:pt>
                <c:pt idx="139">
                  <c:v>194.791521028105</c:v>
                </c:pt>
                <c:pt idx="140">
                  <c:v>652.27715509682</c:v>
                </c:pt>
                <c:pt idx="141">
                  <c:v>968.447306519274</c:v>
                </c:pt>
                <c:pt idx="142">
                  <c:v>880.276993190458</c:v>
                </c:pt>
                <c:pt idx="143">
                  <c:v>147.588437817199</c:v>
                </c:pt>
                <c:pt idx="144">
                  <c:v>-54.8638641224516</c:v>
                </c:pt>
                <c:pt idx="145">
                  <c:v>-132.397877803258</c:v>
                </c:pt>
                <c:pt idx="146">
                  <c:v>-217.640783531776</c:v>
                </c:pt>
                <c:pt idx="147">
                  <c:v>-463.168099663002</c:v>
                </c:pt>
                <c:pt idx="148">
                  <c:v>-437.221286254021</c:v>
                </c:pt>
                <c:pt idx="149">
                  <c:v>355.693814690727</c:v>
                </c:pt>
                <c:pt idx="150">
                  <c:v>583.113871801427</c:v>
                </c:pt>
                <c:pt idx="151">
                  <c:v>-40.7917720107134</c:v>
                </c:pt>
                <c:pt idx="152">
                  <c:v>-790.995047608938</c:v>
                </c:pt>
                <c:pt idx="153">
                  <c:v>-120.006210392376</c:v>
                </c:pt>
                <c:pt idx="154">
                  <c:v>270.057472041655</c:v>
                </c:pt>
                <c:pt idx="155">
                  <c:v>-92.2341331272628</c:v>
                </c:pt>
                <c:pt idx="156">
                  <c:v>691.891023422582</c:v>
                </c:pt>
                <c:pt idx="157">
                  <c:v>260.651266421528</c:v>
                </c:pt>
                <c:pt idx="158">
                  <c:v>-845.555226074153</c:v>
                </c:pt>
                <c:pt idx="159">
                  <c:v>-1388.60600352064</c:v>
                </c:pt>
                <c:pt idx="160">
                  <c:v>656.044893422636</c:v>
                </c:pt>
                <c:pt idx="161">
                  <c:v>776.817113232735</c:v>
                </c:pt>
                <c:pt idx="162">
                  <c:v>-248.197070195462</c:v>
                </c:pt>
                <c:pt idx="163">
                  <c:v>855.353682473122</c:v>
                </c:pt>
                <c:pt idx="164">
                  <c:v>-307.655474166575</c:v>
                </c:pt>
                <c:pt idx="165">
                  <c:v>-698.125958772103</c:v>
                </c:pt>
                <c:pt idx="166">
                  <c:v>-1241.46813620106</c:v>
                </c:pt>
                <c:pt idx="167">
                  <c:v>752.192801808043</c:v>
                </c:pt>
                <c:pt idx="168">
                  <c:v>1235.6422513329</c:v>
                </c:pt>
                <c:pt idx="169">
                  <c:v>1220.08803496517</c:v>
                </c:pt>
                <c:pt idx="170">
                  <c:v>534.228816219938</c:v>
                </c:pt>
                <c:pt idx="171">
                  <c:v>62.881959835343</c:v>
                </c:pt>
                <c:pt idx="172">
                  <c:v>33.1059863241944</c:v>
                </c:pt>
                <c:pt idx="173">
                  <c:v>-182.759901720693</c:v>
                </c:pt>
                <c:pt idx="174">
                  <c:v>-337.396328242242</c:v>
                </c:pt>
                <c:pt idx="175">
                  <c:v>-396.833041752213</c:v>
                </c:pt>
                <c:pt idx="176">
                  <c:v>-504.392455438272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Sheet4!$W$1</c:f>
              <c:strCache>
                <c:ptCount val="1"/>
                <c:pt idx="0">
                  <c:v>M5P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Sheet4!$W$2:$W$178</c:f>
              <c:numCache>
                <c:formatCode>General</c:formatCode>
                <c:ptCount val="177"/>
                <c:pt idx="0">
                  <c:v>-935.594</c:v>
                </c:pt>
                <c:pt idx="1">
                  <c:v>-288.224</c:v>
                </c:pt>
                <c:pt idx="2">
                  <c:v>-377.854</c:v>
                </c:pt>
                <c:pt idx="3">
                  <c:v>-484.484</c:v>
                </c:pt>
                <c:pt idx="4">
                  <c:v>-513.114</c:v>
                </c:pt>
                <c:pt idx="5">
                  <c:v>486.281</c:v>
                </c:pt>
                <c:pt idx="6">
                  <c:v>393.313</c:v>
                </c:pt>
                <c:pt idx="7">
                  <c:v>279.344</c:v>
                </c:pt>
                <c:pt idx="8">
                  <c:v>744.347</c:v>
                </c:pt>
                <c:pt idx="9">
                  <c:v>482.445</c:v>
                </c:pt>
                <c:pt idx="10">
                  <c:v>384.144</c:v>
                </c:pt>
                <c:pt idx="11">
                  <c:v>262.843</c:v>
                </c:pt>
                <c:pt idx="12">
                  <c:v>144.543</c:v>
                </c:pt>
                <c:pt idx="13">
                  <c:v>73.2420000000002</c:v>
                </c:pt>
                <c:pt idx="14">
                  <c:v>-226.66</c:v>
                </c:pt>
                <c:pt idx="15">
                  <c:v>-350.961</c:v>
                </c:pt>
                <c:pt idx="16">
                  <c:v>144.207</c:v>
                </c:pt>
                <c:pt idx="17">
                  <c:v>39.0700000000001</c:v>
                </c:pt>
                <c:pt idx="18">
                  <c:v>-85.068</c:v>
                </c:pt>
                <c:pt idx="19">
                  <c:v>-269.343</c:v>
                </c:pt>
                <c:pt idx="20">
                  <c:v>-260.481</c:v>
                </c:pt>
                <c:pt idx="21">
                  <c:v>251.106</c:v>
                </c:pt>
                <c:pt idx="22">
                  <c:v>130.968</c:v>
                </c:pt>
                <c:pt idx="23">
                  <c:v>48.8310000000001</c:v>
                </c:pt>
                <c:pt idx="24">
                  <c:v>-22.3069999999998</c:v>
                </c:pt>
                <c:pt idx="25">
                  <c:v>-123.445</c:v>
                </c:pt>
                <c:pt idx="26">
                  <c:v>-248.582</c:v>
                </c:pt>
                <c:pt idx="27">
                  <c:v>70.2800000000002</c:v>
                </c:pt>
                <c:pt idx="28">
                  <c:v>360.142</c:v>
                </c:pt>
                <c:pt idx="29">
                  <c:v>37.7289999999998</c:v>
                </c:pt>
                <c:pt idx="30">
                  <c:v>-52.4079999999999</c:v>
                </c:pt>
                <c:pt idx="31">
                  <c:v>-199.546</c:v>
                </c:pt>
                <c:pt idx="32">
                  <c:v>-1624.252</c:v>
                </c:pt>
                <c:pt idx="33">
                  <c:v>-962.577</c:v>
                </c:pt>
                <c:pt idx="34">
                  <c:v>-708.902</c:v>
                </c:pt>
                <c:pt idx="35">
                  <c:v>255.448</c:v>
                </c:pt>
                <c:pt idx="36">
                  <c:v>928.637</c:v>
                </c:pt>
                <c:pt idx="37">
                  <c:v>830.261</c:v>
                </c:pt>
                <c:pt idx="38">
                  <c:v>549.509</c:v>
                </c:pt>
                <c:pt idx="39">
                  <c:v>887.984</c:v>
                </c:pt>
                <c:pt idx="40">
                  <c:v>620.219999999999</c:v>
                </c:pt>
                <c:pt idx="41">
                  <c:v>369.455</c:v>
                </c:pt>
                <c:pt idx="42">
                  <c:v>211.573</c:v>
                </c:pt>
                <c:pt idx="43">
                  <c:v>50.6900000000005</c:v>
                </c:pt>
                <c:pt idx="44">
                  <c:v>-148.074000000001</c:v>
                </c:pt>
                <c:pt idx="45">
                  <c:v>-313.956</c:v>
                </c:pt>
                <c:pt idx="46">
                  <c:v>-478.839</c:v>
                </c:pt>
                <c:pt idx="47">
                  <c:v>-642.721</c:v>
                </c:pt>
                <c:pt idx="48">
                  <c:v>-736.714</c:v>
                </c:pt>
                <c:pt idx="49">
                  <c:v>-925.511</c:v>
                </c:pt>
                <c:pt idx="50">
                  <c:v>-596.62</c:v>
                </c:pt>
                <c:pt idx="51">
                  <c:v>-423.279</c:v>
                </c:pt>
                <c:pt idx="52">
                  <c:v>-240.939</c:v>
                </c:pt>
                <c:pt idx="53">
                  <c:v>388.196</c:v>
                </c:pt>
                <c:pt idx="54">
                  <c:v>160.214</c:v>
                </c:pt>
                <c:pt idx="55">
                  <c:v>382.269</c:v>
                </c:pt>
                <c:pt idx="56">
                  <c:v>149.287</c:v>
                </c:pt>
                <c:pt idx="57">
                  <c:v>605.323</c:v>
                </c:pt>
                <c:pt idx="58">
                  <c:v>199.359</c:v>
                </c:pt>
                <c:pt idx="59">
                  <c:v>5.3779999999997</c:v>
                </c:pt>
                <c:pt idx="60">
                  <c:v>-201.604</c:v>
                </c:pt>
                <c:pt idx="61">
                  <c:v>-423.586</c:v>
                </c:pt>
                <c:pt idx="62">
                  <c:v>-1407.512</c:v>
                </c:pt>
                <c:pt idx="63">
                  <c:v>-745.837</c:v>
                </c:pt>
                <c:pt idx="64">
                  <c:v>-313.487</c:v>
                </c:pt>
                <c:pt idx="65">
                  <c:v>472.187</c:v>
                </c:pt>
                <c:pt idx="66">
                  <c:v>1062.278</c:v>
                </c:pt>
                <c:pt idx="67">
                  <c:v>970.902</c:v>
                </c:pt>
                <c:pt idx="68">
                  <c:v>1007.934</c:v>
                </c:pt>
                <c:pt idx="69">
                  <c:v>903.052</c:v>
                </c:pt>
                <c:pt idx="70">
                  <c:v>740.17</c:v>
                </c:pt>
                <c:pt idx="71">
                  <c:v>627.287</c:v>
                </c:pt>
                <c:pt idx="72">
                  <c:v>170.641</c:v>
                </c:pt>
                <c:pt idx="73">
                  <c:v>-28.1239999999998</c:v>
                </c:pt>
                <c:pt idx="74">
                  <c:v>-358.888999999999</c:v>
                </c:pt>
                <c:pt idx="75">
                  <c:v>-522.771000000001</c:v>
                </c:pt>
                <c:pt idx="76">
                  <c:v>-224.285</c:v>
                </c:pt>
                <c:pt idx="77">
                  <c:v>-466.083</c:v>
                </c:pt>
                <c:pt idx="78">
                  <c:v>-688.88</c:v>
                </c:pt>
                <c:pt idx="79">
                  <c:v>-996.474</c:v>
                </c:pt>
                <c:pt idx="80">
                  <c:v>-528.834</c:v>
                </c:pt>
                <c:pt idx="81">
                  <c:v>-454.494</c:v>
                </c:pt>
                <c:pt idx="82">
                  <c:v>-173.153</c:v>
                </c:pt>
                <c:pt idx="83">
                  <c:v>449.283</c:v>
                </c:pt>
                <c:pt idx="84">
                  <c:v>221.301</c:v>
                </c:pt>
                <c:pt idx="85">
                  <c:v>210.373</c:v>
                </c:pt>
                <c:pt idx="86">
                  <c:v>312.392</c:v>
                </c:pt>
                <c:pt idx="87">
                  <c:v>468.428</c:v>
                </c:pt>
                <c:pt idx="88">
                  <c:v>260.446</c:v>
                </c:pt>
                <c:pt idx="89">
                  <c:v>57.4639999999999</c:v>
                </c:pt>
                <c:pt idx="90">
                  <c:v>-362.5</c:v>
                </c:pt>
                <c:pt idx="91">
                  <c:v>209.35</c:v>
                </c:pt>
                <c:pt idx="92">
                  <c:v>106.942</c:v>
                </c:pt>
                <c:pt idx="93">
                  <c:v>49.2379999999998</c:v>
                </c:pt>
                <c:pt idx="94">
                  <c:v>-39.1700000000001</c:v>
                </c:pt>
                <c:pt idx="95">
                  <c:v>-90.8739999999998</c:v>
                </c:pt>
                <c:pt idx="96">
                  <c:v>-139.578</c:v>
                </c:pt>
                <c:pt idx="97">
                  <c:v>-179.282</c:v>
                </c:pt>
                <c:pt idx="98">
                  <c:v>-233.986</c:v>
                </c:pt>
                <c:pt idx="99">
                  <c:v>-310.394</c:v>
                </c:pt>
                <c:pt idx="100">
                  <c:v>-411.506</c:v>
                </c:pt>
                <c:pt idx="101">
                  <c:v>-456.21</c:v>
                </c:pt>
                <c:pt idx="102">
                  <c:v>-451.914</c:v>
                </c:pt>
                <c:pt idx="103">
                  <c:v>-524.322</c:v>
                </c:pt>
                <c:pt idx="104">
                  <c:v>-553.026</c:v>
                </c:pt>
                <c:pt idx="105">
                  <c:v>-577.73</c:v>
                </c:pt>
                <c:pt idx="106">
                  <c:v>698.341</c:v>
                </c:pt>
                <c:pt idx="107">
                  <c:v>659.637</c:v>
                </c:pt>
                <c:pt idx="108">
                  <c:v>535.525</c:v>
                </c:pt>
                <c:pt idx="109">
                  <c:v>486.117</c:v>
                </c:pt>
                <c:pt idx="110">
                  <c:v>435.413</c:v>
                </c:pt>
                <c:pt idx="111">
                  <c:v>390.709</c:v>
                </c:pt>
                <c:pt idx="112">
                  <c:v>303.301</c:v>
                </c:pt>
                <c:pt idx="113">
                  <c:v>192.893</c:v>
                </c:pt>
                <c:pt idx="114">
                  <c:v>139.189</c:v>
                </c:pt>
                <c:pt idx="115">
                  <c:v>77.7809999999999</c:v>
                </c:pt>
                <c:pt idx="116">
                  <c:v>6.37300000000005</c:v>
                </c:pt>
                <c:pt idx="117">
                  <c:v>-32.331</c:v>
                </c:pt>
                <c:pt idx="118">
                  <c:v>-89.035</c:v>
                </c:pt>
                <c:pt idx="119">
                  <c:v>-201.443</c:v>
                </c:pt>
                <c:pt idx="121">
                  <c:v>647.256</c:v>
                </c:pt>
                <c:pt idx="122">
                  <c:v>555.745</c:v>
                </c:pt>
                <c:pt idx="123">
                  <c:v>-102.359</c:v>
                </c:pt>
                <c:pt idx="124">
                  <c:v>268.345</c:v>
                </c:pt>
                <c:pt idx="125">
                  <c:v>53.3810000000001</c:v>
                </c:pt>
                <c:pt idx="126">
                  <c:v>233.005</c:v>
                </c:pt>
                <c:pt idx="127">
                  <c:v>-2173.926</c:v>
                </c:pt>
                <c:pt idx="128">
                  <c:v>707.885</c:v>
                </c:pt>
                <c:pt idx="129">
                  <c:v>-60.1919999999991</c:v>
                </c:pt>
                <c:pt idx="130">
                  <c:v>-513.916</c:v>
                </c:pt>
                <c:pt idx="131">
                  <c:v>-1044.308</c:v>
                </c:pt>
                <c:pt idx="132">
                  <c:v>327.232</c:v>
                </c:pt>
                <c:pt idx="133">
                  <c:v>407.341</c:v>
                </c:pt>
                <c:pt idx="134">
                  <c:v>-1957.187</c:v>
                </c:pt>
                <c:pt idx="135">
                  <c:v>683.15</c:v>
                </c:pt>
                <c:pt idx="136">
                  <c:v>489.405000000001</c:v>
                </c:pt>
                <c:pt idx="137">
                  <c:v>-193.005999999999</c:v>
                </c:pt>
                <c:pt idx="138">
                  <c:v>-861.677</c:v>
                </c:pt>
                <c:pt idx="139">
                  <c:v>197.319</c:v>
                </c:pt>
                <c:pt idx="140">
                  <c:v>443.355</c:v>
                </c:pt>
                <c:pt idx="141">
                  <c:v>-140.518</c:v>
                </c:pt>
                <c:pt idx="142">
                  <c:v>163.646</c:v>
                </c:pt>
                <c:pt idx="143">
                  <c:v>-266.69</c:v>
                </c:pt>
                <c:pt idx="144">
                  <c:v>-495.618</c:v>
                </c:pt>
                <c:pt idx="145">
                  <c:v>620.933</c:v>
                </c:pt>
                <c:pt idx="146">
                  <c:v>542.821</c:v>
                </c:pt>
                <c:pt idx="147">
                  <c:v>96.485</c:v>
                </c:pt>
                <c:pt idx="148">
                  <c:v>59.077</c:v>
                </c:pt>
                <c:pt idx="149">
                  <c:v>-870.964</c:v>
                </c:pt>
                <c:pt idx="150">
                  <c:v>643.046</c:v>
                </c:pt>
                <c:pt idx="151">
                  <c:v>24.9409999999998</c:v>
                </c:pt>
                <c:pt idx="152">
                  <c:v>-188.206</c:v>
                </c:pt>
                <c:pt idx="153">
                  <c:v>381.244</c:v>
                </c:pt>
                <c:pt idx="154">
                  <c:v>132.867</c:v>
                </c:pt>
                <c:pt idx="155">
                  <c:v>-530.227</c:v>
                </c:pt>
                <c:pt idx="156">
                  <c:v>757.102000000001</c:v>
                </c:pt>
                <c:pt idx="157">
                  <c:v>507.337</c:v>
                </c:pt>
                <c:pt idx="158">
                  <c:v>-272.119</c:v>
                </c:pt>
                <c:pt idx="159">
                  <c:v>-398.105</c:v>
                </c:pt>
                <c:pt idx="160">
                  <c:v>591.251</c:v>
                </c:pt>
                <c:pt idx="161">
                  <c:v>351.305</c:v>
                </c:pt>
                <c:pt idx="162">
                  <c:v>-685.162</c:v>
                </c:pt>
                <c:pt idx="163">
                  <c:v>841.526</c:v>
                </c:pt>
                <c:pt idx="164">
                  <c:v>330.522999999999</c:v>
                </c:pt>
                <c:pt idx="165">
                  <c:v>59.7579999999998</c:v>
                </c:pt>
                <c:pt idx="166">
                  <c:v>-350.272</c:v>
                </c:pt>
                <c:pt idx="167">
                  <c:v>652.337</c:v>
                </c:pt>
                <c:pt idx="168">
                  <c:v>666.41</c:v>
                </c:pt>
                <c:pt idx="169">
                  <c:v>208.054</c:v>
                </c:pt>
                <c:pt idx="170">
                  <c:v>3.53400000000011</c:v>
                </c:pt>
                <c:pt idx="171">
                  <c:v>-347.098</c:v>
                </c:pt>
                <c:pt idx="172">
                  <c:v>-378.802</c:v>
                </c:pt>
                <c:pt idx="173">
                  <c:v>582.229</c:v>
                </c:pt>
                <c:pt idx="174">
                  <c:v>357.005</c:v>
                </c:pt>
                <c:pt idx="175">
                  <c:v>248.597</c:v>
                </c:pt>
                <c:pt idx="176">
                  <c:v>-145.739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Sheet4!$X$1</c:f>
              <c:strCache>
                <c:ptCount val="1"/>
                <c:pt idx="0">
                  <c:v>RF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Sheet4!$X$2:$X$178</c:f>
              <c:numCache>
                <c:formatCode>General</c:formatCode>
                <c:ptCount val="177"/>
                <c:pt idx="0">
                  <c:v>-226.286</c:v>
                </c:pt>
                <c:pt idx="1">
                  <c:v>43.9549999999999</c:v>
                </c:pt>
                <c:pt idx="2">
                  <c:v>-7.62899999999991</c:v>
                </c:pt>
                <c:pt idx="3">
                  <c:v>-44.1190000000001</c:v>
                </c:pt>
                <c:pt idx="4">
                  <c:v>-53.3429999999998</c:v>
                </c:pt>
                <c:pt idx="5">
                  <c:v>214.276</c:v>
                </c:pt>
                <c:pt idx="6">
                  <c:v>124.24</c:v>
                </c:pt>
                <c:pt idx="7">
                  <c:v>-96.0370000000003</c:v>
                </c:pt>
                <c:pt idx="8">
                  <c:v>36.9040000000005</c:v>
                </c:pt>
                <c:pt idx="9">
                  <c:v>56.1000000000004</c:v>
                </c:pt>
                <c:pt idx="10">
                  <c:v>58.4530000000004</c:v>
                </c:pt>
                <c:pt idx="11">
                  <c:v>83.7960000000003</c:v>
                </c:pt>
                <c:pt idx="12">
                  <c:v>96.799</c:v>
                </c:pt>
                <c:pt idx="13">
                  <c:v>154.447</c:v>
                </c:pt>
                <c:pt idx="14">
                  <c:v>147.466</c:v>
                </c:pt>
                <c:pt idx="15">
                  <c:v>24.9340000000002</c:v>
                </c:pt>
                <c:pt idx="16">
                  <c:v>-71.838</c:v>
                </c:pt>
                <c:pt idx="17">
                  <c:v>-50.857</c:v>
                </c:pt>
                <c:pt idx="18">
                  <c:v>-179.115</c:v>
                </c:pt>
                <c:pt idx="19">
                  <c:v>-103.996</c:v>
                </c:pt>
                <c:pt idx="20">
                  <c:v>-83.3209999999999</c:v>
                </c:pt>
                <c:pt idx="21">
                  <c:v>-176.65</c:v>
                </c:pt>
                <c:pt idx="22">
                  <c:v>-132.469</c:v>
                </c:pt>
                <c:pt idx="23">
                  <c:v>-26.127</c:v>
                </c:pt>
                <c:pt idx="24">
                  <c:v>-11.1909999999998</c:v>
                </c:pt>
                <c:pt idx="25">
                  <c:v>-7.10600000000022</c:v>
                </c:pt>
                <c:pt idx="26">
                  <c:v>-189.493</c:v>
                </c:pt>
                <c:pt idx="27">
                  <c:v>-30.3409999999999</c:v>
                </c:pt>
                <c:pt idx="28">
                  <c:v>119.955</c:v>
                </c:pt>
                <c:pt idx="29">
                  <c:v>54.1399999999999</c:v>
                </c:pt>
                <c:pt idx="30">
                  <c:v>42.355</c:v>
                </c:pt>
                <c:pt idx="31">
                  <c:v>-20.4699999999998</c:v>
                </c:pt>
                <c:pt idx="32">
                  <c:v>-303.063</c:v>
                </c:pt>
                <c:pt idx="33">
                  <c:v>82.6199999999999</c:v>
                </c:pt>
                <c:pt idx="34">
                  <c:v>18.7700000000004</c:v>
                </c:pt>
                <c:pt idx="35">
                  <c:v>-157.239</c:v>
                </c:pt>
                <c:pt idx="36">
                  <c:v>121.916999999999</c:v>
                </c:pt>
                <c:pt idx="37">
                  <c:v>259.885</c:v>
                </c:pt>
                <c:pt idx="38">
                  <c:v>102.6</c:v>
                </c:pt>
                <c:pt idx="39">
                  <c:v>353.531999999999</c:v>
                </c:pt>
                <c:pt idx="40">
                  <c:v>61.7440000000006</c:v>
                </c:pt>
                <c:pt idx="41">
                  <c:v>92.7250000000004</c:v>
                </c:pt>
                <c:pt idx="42">
                  <c:v>50.2109999999993</c:v>
                </c:pt>
                <c:pt idx="43">
                  <c:v>23.8430000000008</c:v>
                </c:pt>
                <c:pt idx="44">
                  <c:v>72.3439999999991</c:v>
                </c:pt>
                <c:pt idx="45">
                  <c:v>75.8909999999996</c:v>
                </c:pt>
                <c:pt idx="46">
                  <c:v>106.75</c:v>
                </c:pt>
                <c:pt idx="47">
                  <c:v>102.322</c:v>
                </c:pt>
                <c:pt idx="48">
                  <c:v>-250.172</c:v>
                </c:pt>
                <c:pt idx="49">
                  <c:v>-197.902</c:v>
                </c:pt>
                <c:pt idx="50">
                  <c:v>-356.755</c:v>
                </c:pt>
                <c:pt idx="51">
                  <c:v>-185.782</c:v>
                </c:pt>
                <c:pt idx="52">
                  <c:v>-283.291</c:v>
                </c:pt>
                <c:pt idx="53">
                  <c:v>28.1570000000002</c:v>
                </c:pt>
                <c:pt idx="54">
                  <c:v>-84.8580000000002</c:v>
                </c:pt>
                <c:pt idx="55">
                  <c:v>-40.5879999999997</c:v>
                </c:pt>
                <c:pt idx="56">
                  <c:v>-200.829</c:v>
                </c:pt>
                <c:pt idx="57">
                  <c:v>-41.9970000000003</c:v>
                </c:pt>
                <c:pt idx="58">
                  <c:v>-72.009</c:v>
                </c:pt>
                <c:pt idx="59">
                  <c:v>-94.3140000000003</c:v>
                </c:pt>
                <c:pt idx="60">
                  <c:v>-62.2860000000001</c:v>
                </c:pt>
                <c:pt idx="61">
                  <c:v>-50.8239999999996</c:v>
                </c:pt>
                <c:pt idx="62">
                  <c:v>-325.705</c:v>
                </c:pt>
                <c:pt idx="63">
                  <c:v>236.515</c:v>
                </c:pt>
                <c:pt idx="64">
                  <c:v>24.8069999999998</c:v>
                </c:pt>
                <c:pt idx="65">
                  <c:v>-188.022</c:v>
                </c:pt>
                <c:pt idx="66">
                  <c:v>190.317999999999</c:v>
                </c:pt>
                <c:pt idx="67">
                  <c:v>354.413</c:v>
                </c:pt>
                <c:pt idx="68">
                  <c:v>147.065000000001</c:v>
                </c:pt>
                <c:pt idx="69">
                  <c:v>64.2070000000003</c:v>
                </c:pt>
                <c:pt idx="70">
                  <c:v>-13.482</c:v>
                </c:pt>
                <c:pt idx="71">
                  <c:v>75.5689999999995</c:v>
                </c:pt>
                <c:pt idx="72">
                  <c:v>34.2440000000006</c:v>
                </c:pt>
                <c:pt idx="73">
                  <c:v>75.6749999999993</c:v>
                </c:pt>
                <c:pt idx="74">
                  <c:v>47.7350000000006</c:v>
                </c:pt>
                <c:pt idx="75">
                  <c:v>53.7459999999992</c:v>
                </c:pt>
                <c:pt idx="76">
                  <c:v>-72.934</c:v>
                </c:pt>
                <c:pt idx="77">
                  <c:v>-66.3620000000001</c:v>
                </c:pt>
                <c:pt idx="78">
                  <c:v>-45.2090000000001</c:v>
                </c:pt>
                <c:pt idx="79">
                  <c:v>-164.836</c:v>
                </c:pt>
                <c:pt idx="80">
                  <c:v>-373.21</c:v>
                </c:pt>
                <c:pt idx="81">
                  <c:v>-130.145</c:v>
                </c:pt>
                <c:pt idx="82">
                  <c:v>-175.375</c:v>
                </c:pt>
                <c:pt idx="83">
                  <c:v>64.7209999999995</c:v>
                </c:pt>
                <c:pt idx="84">
                  <c:v>-183.529</c:v>
                </c:pt>
                <c:pt idx="85">
                  <c:v>-201.33</c:v>
                </c:pt>
                <c:pt idx="86">
                  <c:v>-43.4939999999997</c:v>
                </c:pt>
                <c:pt idx="87">
                  <c:v>-26.7569999999996</c:v>
                </c:pt>
                <c:pt idx="88">
                  <c:v>-36.9200000000001</c:v>
                </c:pt>
                <c:pt idx="89">
                  <c:v>0.984999999999673</c:v>
                </c:pt>
                <c:pt idx="90">
                  <c:v>3.04399999999987</c:v>
                </c:pt>
                <c:pt idx="91">
                  <c:v>71.883</c:v>
                </c:pt>
                <c:pt idx="92">
                  <c:v>-110.741</c:v>
                </c:pt>
                <c:pt idx="93">
                  <c:v>-16.2139999999999</c:v>
                </c:pt>
                <c:pt idx="94">
                  <c:v>45.433</c:v>
                </c:pt>
                <c:pt idx="95">
                  <c:v>-19.4940000000001</c:v>
                </c:pt>
                <c:pt idx="96">
                  <c:v>-7.33500000000004</c:v>
                </c:pt>
                <c:pt idx="97">
                  <c:v>-93.518</c:v>
                </c:pt>
                <c:pt idx="98">
                  <c:v>-252.032</c:v>
                </c:pt>
                <c:pt idx="99">
                  <c:v>22.5169999999998</c:v>
                </c:pt>
                <c:pt idx="100">
                  <c:v>-120.298</c:v>
                </c:pt>
                <c:pt idx="101">
                  <c:v>-123.382</c:v>
                </c:pt>
                <c:pt idx="102">
                  <c:v>-26.0920000000001</c:v>
                </c:pt>
                <c:pt idx="103">
                  <c:v>88.3870000000002</c:v>
                </c:pt>
                <c:pt idx="104">
                  <c:v>-47.817</c:v>
                </c:pt>
                <c:pt idx="105">
                  <c:v>-132.204</c:v>
                </c:pt>
                <c:pt idx="106">
                  <c:v>-71.506</c:v>
                </c:pt>
                <c:pt idx="107">
                  <c:v>-84.0839999999999</c:v>
                </c:pt>
                <c:pt idx="108">
                  <c:v>-67.276</c:v>
                </c:pt>
                <c:pt idx="109">
                  <c:v>-37.029</c:v>
                </c:pt>
                <c:pt idx="110">
                  <c:v>-135.911</c:v>
                </c:pt>
                <c:pt idx="111">
                  <c:v>-125.842</c:v>
                </c:pt>
                <c:pt idx="112">
                  <c:v>-106.119</c:v>
                </c:pt>
                <c:pt idx="113">
                  <c:v>-35.599</c:v>
                </c:pt>
                <c:pt idx="114">
                  <c:v>-70.568</c:v>
                </c:pt>
                <c:pt idx="115">
                  <c:v>-75.144</c:v>
                </c:pt>
                <c:pt idx="116">
                  <c:v>-48.936</c:v>
                </c:pt>
                <c:pt idx="117">
                  <c:v>14.405</c:v>
                </c:pt>
                <c:pt idx="118">
                  <c:v>-81.326</c:v>
                </c:pt>
                <c:pt idx="119">
                  <c:v>-286.075</c:v>
                </c:pt>
                <c:pt idx="121">
                  <c:v>532.157</c:v>
                </c:pt>
                <c:pt idx="122">
                  <c:v>42.5770000000002</c:v>
                </c:pt>
                <c:pt idx="123">
                  <c:v>362.14</c:v>
                </c:pt>
                <c:pt idx="124">
                  <c:v>-63.224</c:v>
                </c:pt>
                <c:pt idx="125">
                  <c:v>-24.6179999999999</c:v>
                </c:pt>
                <c:pt idx="126">
                  <c:v>128.064</c:v>
                </c:pt>
                <c:pt idx="127">
                  <c:v>-1157.333</c:v>
                </c:pt>
                <c:pt idx="128">
                  <c:v>460.049999999999</c:v>
                </c:pt>
                <c:pt idx="129">
                  <c:v>75.5290000000005</c:v>
                </c:pt>
                <c:pt idx="130">
                  <c:v>-298.233</c:v>
                </c:pt>
                <c:pt idx="131">
                  <c:v>-375.135</c:v>
                </c:pt>
                <c:pt idx="132">
                  <c:v>-114.984</c:v>
                </c:pt>
                <c:pt idx="133">
                  <c:v>-46.3639999999996</c:v>
                </c:pt>
                <c:pt idx="134">
                  <c:v>-970.635</c:v>
                </c:pt>
                <c:pt idx="135">
                  <c:v>-102.392</c:v>
                </c:pt>
                <c:pt idx="136">
                  <c:v>220.653</c:v>
                </c:pt>
                <c:pt idx="137">
                  <c:v>80.3950000000004</c:v>
                </c:pt>
                <c:pt idx="138">
                  <c:v>-124.584</c:v>
                </c:pt>
                <c:pt idx="139">
                  <c:v>-255.119</c:v>
                </c:pt>
                <c:pt idx="140">
                  <c:v>-222.738</c:v>
                </c:pt>
                <c:pt idx="141">
                  <c:v>-16.165</c:v>
                </c:pt>
                <c:pt idx="142">
                  <c:v>-110.681</c:v>
                </c:pt>
                <c:pt idx="143">
                  <c:v>4.18899999999985</c:v>
                </c:pt>
                <c:pt idx="144">
                  <c:v>66.3780000000002</c:v>
                </c:pt>
                <c:pt idx="145">
                  <c:v>-141.05</c:v>
                </c:pt>
                <c:pt idx="146">
                  <c:v>-45.329</c:v>
                </c:pt>
                <c:pt idx="147">
                  <c:v>-231.384</c:v>
                </c:pt>
                <c:pt idx="148">
                  <c:v>-152.417</c:v>
                </c:pt>
                <c:pt idx="149">
                  <c:v>-305.346</c:v>
                </c:pt>
                <c:pt idx="150">
                  <c:v>119.866</c:v>
                </c:pt>
                <c:pt idx="151">
                  <c:v>329.818</c:v>
                </c:pt>
                <c:pt idx="152">
                  <c:v>-154.556</c:v>
                </c:pt>
                <c:pt idx="153">
                  <c:v>-101.621</c:v>
                </c:pt>
                <c:pt idx="154">
                  <c:v>127.448</c:v>
                </c:pt>
                <c:pt idx="155">
                  <c:v>-244.963</c:v>
                </c:pt>
                <c:pt idx="156">
                  <c:v>98.2350000000006</c:v>
                </c:pt>
                <c:pt idx="157">
                  <c:v>224.978999999999</c:v>
                </c:pt>
                <c:pt idx="158">
                  <c:v>-314.655</c:v>
                </c:pt>
                <c:pt idx="159">
                  <c:v>-431.941</c:v>
                </c:pt>
                <c:pt idx="160">
                  <c:v>-112.23</c:v>
                </c:pt>
                <c:pt idx="161">
                  <c:v>-110.35</c:v>
                </c:pt>
                <c:pt idx="162">
                  <c:v>-350.954</c:v>
                </c:pt>
                <c:pt idx="163">
                  <c:v>454.120999999999</c:v>
                </c:pt>
                <c:pt idx="164">
                  <c:v>235.891</c:v>
                </c:pt>
                <c:pt idx="165">
                  <c:v>125.75</c:v>
                </c:pt>
                <c:pt idx="166">
                  <c:v>-268.385</c:v>
                </c:pt>
                <c:pt idx="167">
                  <c:v>-85.4380000000001</c:v>
                </c:pt>
                <c:pt idx="168">
                  <c:v>-119.256</c:v>
                </c:pt>
                <c:pt idx="169">
                  <c:v>112.282</c:v>
                </c:pt>
                <c:pt idx="170">
                  <c:v>-33.6900000000001</c:v>
                </c:pt>
                <c:pt idx="171">
                  <c:v>-241.316</c:v>
                </c:pt>
                <c:pt idx="172">
                  <c:v>-353.346</c:v>
                </c:pt>
                <c:pt idx="173">
                  <c:v>-135.12</c:v>
                </c:pt>
                <c:pt idx="174">
                  <c:v>-272.234</c:v>
                </c:pt>
                <c:pt idx="175">
                  <c:v>-80.321</c:v>
                </c:pt>
                <c:pt idx="176">
                  <c:v>-380.29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Sheet4!$Y$1</c:f>
              <c:strCache>
                <c:ptCount val="1"/>
                <c:pt idx="0">
                  <c:v>RT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Sheet4!$Y$2:$Y$178</c:f>
              <c:numCache>
                <c:formatCode>General</c:formatCode>
                <c:ptCount val="177"/>
                <c:pt idx="0">
                  <c:v>0</c:v>
                </c:pt>
                <c:pt idx="1">
                  <c:v>-95.25</c:v>
                </c:pt>
                <c:pt idx="2">
                  <c:v>-36.25</c:v>
                </c:pt>
                <c:pt idx="3">
                  <c:v>5.75</c:v>
                </c:pt>
                <c:pt idx="4">
                  <c:v>125.75</c:v>
                </c:pt>
                <c:pt idx="5">
                  <c:v>-33</c:v>
                </c:pt>
                <c:pt idx="6">
                  <c:v>7</c:v>
                </c:pt>
                <c:pt idx="7">
                  <c:v>26</c:v>
                </c:pt>
                <c:pt idx="8">
                  <c:v>0</c:v>
                </c:pt>
                <c:pt idx="9">
                  <c:v>-16.5</c:v>
                </c:pt>
                <c:pt idx="10">
                  <c:v>16.5</c:v>
                </c:pt>
                <c:pt idx="11">
                  <c:v>-85.3999999999996</c:v>
                </c:pt>
                <c:pt idx="12">
                  <c:v>-72.3999999999996</c:v>
                </c:pt>
                <c:pt idx="13">
                  <c:v>-12.3999999999996</c:v>
                </c:pt>
                <c:pt idx="14">
                  <c:v>81.6000000000004</c:v>
                </c:pt>
                <c:pt idx="15">
                  <c:v>88.6000000000004</c:v>
                </c:pt>
                <c:pt idx="16">
                  <c:v>-51.25</c:v>
                </c:pt>
                <c:pt idx="17">
                  <c:v>-20.25</c:v>
                </c:pt>
                <c:pt idx="18">
                  <c:v>-8.25</c:v>
                </c:pt>
                <c:pt idx="19">
                  <c:v>79.75</c:v>
                </c:pt>
                <c:pt idx="20">
                  <c:v>0</c:v>
                </c:pt>
                <c:pt idx="21">
                  <c:v>-95.3330000000001</c:v>
                </c:pt>
                <c:pt idx="22">
                  <c:v>-79.3330000000001</c:v>
                </c:pt>
                <c:pt idx="23">
                  <c:v>-25.3330000000001</c:v>
                </c:pt>
                <c:pt idx="24">
                  <c:v>39.6669999999999</c:v>
                </c:pt>
                <c:pt idx="25">
                  <c:v>74.6669999999999</c:v>
                </c:pt>
                <c:pt idx="26">
                  <c:v>85.6669999999999</c:v>
                </c:pt>
                <c:pt idx="27">
                  <c:v>0</c:v>
                </c:pt>
                <c:pt idx="28">
                  <c:v>-84.75</c:v>
                </c:pt>
                <c:pt idx="29">
                  <c:v>1.25</c:v>
                </c:pt>
                <c:pt idx="30">
                  <c:v>47.25</c:v>
                </c:pt>
                <c:pt idx="31">
                  <c:v>36.25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-77.3330000000005</c:v>
                </c:pt>
                <c:pt idx="37">
                  <c:v>1.66699999999946</c:v>
                </c:pt>
                <c:pt idx="38">
                  <c:v>75.6669999999995</c:v>
                </c:pt>
                <c:pt idx="39">
                  <c:v>-121</c:v>
                </c:pt>
                <c:pt idx="40">
                  <c:v>-47</c:v>
                </c:pt>
                <c:pt idx="41">
                  <c:v>44</c:v>
                </c:pt>
                <c:pt idx="42">
                  <c:v>57</c:v>
                </c:pt>
                <c:pt idx="43">
                  <c:v>67</c:v>
                </c:pt>
                <c:pt idx="44">
                  <c:v>-8.5</c:v>
                </c:pt>
                <c:pt idx="45">
                  <c:v>-3.5</c:v>
                </c:pt>
                <c:pt idx="46">
                  <c:v>2.5</c:v>
                </c:pt>
                <c:pt idx="47">
                  <c:v>9.5</c:v>
                </c:pt>
                <c:pt idx="48">
                  <c:v>-32.5</c:v>
                </c:pt>
                <c:pt idx="49">
                  <c:v>32.5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-8</c:v>
                </c:pt>
                <c:pt idx="54">
                  <c:v>8</c:v>
                </c:pt>
                <c:pt idx="55">
                  <c:v>-5.5</c:v>
                </c:pt>
                <c:pt idx="56">
                  <c:v>5.5</c:v>
                </c:pt>
                <c:pt idx="57">
                  <c:v>-114.8</c:v>
                </c:pt>
                <c:pt idx="58">
                  <c:v>-32.8000000000002</c:v>
                </c:pt>
                <c:pt idx="59">
                  <c:v>17.1999999999998</c:v>
                </c:pt>
                <c:pt idx="60">
                  <c:v>54.1999999999998</c:v>
                </c:pt>
                <c:pt idx="61">
                  <c:v>76.1999999999998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-43</c:v>
                </c:pt>
                <c:pt idx="67">
                  <c:v>43</c:v>
                </c:pt>
                <c:pt idx="68">
                  <c:v>-92</c:v>
                </c:pt>
                <c:pt idx="69">
                  <c:v>-26</c:v>
                </c:pt>
                <c:pt idx="70">
                  <c:v>-18</c:v>
                </c:pt>
                <c:pt idx="71">
                  <c:v>40</c:v>
                </c:pt>
                <c:pt idx="72">
                  <c:v>96</c:v>
                </c:pt>
                <c:pt idx="73">
                  <c:v>-9.66699999999946</c:v>
                </c:pt>
                <c:pt idx="74">
                  <c:v>1.33300000000054</c:v>
                </c:pt>
                <c:pt idx="75">
                  <c:v>8.33300000000054</c:v>
                </c:pt>
                <c:pt idx="76">
                  <c:v>-18.3330000000001</c:v>
                </c:pt>
                <c:pt idx="77">
                  <c:v>-6.33300000000008</c:v>
                </c:pt>
                <c:pt idx="78">
                  <c:v>24.6669999999999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-8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-64.5</c:v>
                </c:pt>
                <c:pt idx="88">
                  <c:v>-28.5</c:v>
                </c:pt>
                <c:pt idx="89">
                  <c:v>12.5</c:v>
                </c:pt>
                <c:pt idx="90">
                  <c:v>80.5</c:v>
                </c:pt>
                <c:pt idx="91">
                  <c:v>-53.556</c:v>
                </c:pt>
                <c:pt idx="92">
                  <c:v>-38.556</c:v>
                </c:pt>
                <c:pt idx="93">
                  <c:v>-37.556</c:v>
                </c:pt>
                <c:pt idx="94">
                  <c:v>-8.55600000000004</c:v>
                </c:pt>
                <c:pt idx="95">
                  <c:v>-1.55600000000004</c:v>
                </c:pt>
                <c:pt idx="96">
                  <c:v>8.44399999999996</c:v>
                </c:pt>
                <c:pt idx="97">
                  <c:v>27.444</c:v>
                </c:pt>
                <c:pt idx="98">
                  <c:v>31.444</c:v>
                </c:pt>
                <c:pt idx="99">
                  <c:v>72.444</c:v>
                </c:pt>
                <c:pt idx="100">
                  <c:v>-91.8330000000001</c:v>
                </c:pt>
                <c:pt idx="101">
                  <c:v>-77.8330000000001</c:v>
                </c:pt>
                <c:pt idx="102">
                  <c:v>-14.8330000000001</c:v>
                </c:pt>
                <c:pt idx="103">
                  <c:v>30.1669999999999</c:v>
                </c:pt>
                <c:pt idx="104">
                  <c:v>60.1669999999999</c:v>
                </c:pt>
                <c:pt idx="105">
                  <c:v>94.1669999999999</c:v>
                </c:pt>
                <c:pt idx="106">
                  <c:v>-126.333</c:v>
                </c:pt>
                <c:pt idx="107">
                  <c:v>-106.333</c:v>
                </c:pt>
                <c:pt idx="108">
                  <c:v>-54.333</c:v>
                </c:pt>
                <c:pt idx="109">
                  <c:v>13.667</c:v>
                </c:pt>
                <c:pt idx="110">
                  <c:v>21.667</c:v>
                </c:pt>
                <c:pt idx="111">
                  <c:v>35.667</c:v>
                </c:pt>
                <c:pt idx="112">
                  <c:v>65.667</c:v>
                </c:pt>
                <c:pt idx="113">
                  <c:v>72.667</c:v>
                </c:pt>
                <c:pt idx="114">
                  <c:v>77.667</c:v>
                </c:pt>
                <c:pt idx="115">
                  <c:v>-50.6</c:v>
                </c:pt>
                <c:pt idx="116">
                  <c:v>-4.60000000000002</c:v>
                </c:pt>
                <c:pt idx="117">
                  <c:v>15.4</c:v>
                </c:pt>
                <c:pt idx="118">
                  <c:v>17.4</c:v>
                </c:pt>
                <c:pt idx="119">
                  <c:v>22.4</c:v>
                </c:pt>
                <c:pt idx="121">
                  <c:v>-127</c:v>
                </c:pt>
                <c:pt idx="122">
                  <c:v>74</c:v>
                </c:pt>
                <c:pt idx="123">
                  <c:v>74.6000000000004</c:v>
                </c:pt>
                <c:pt idx="124">
                  <c:v>-63.25</c:v>
                </c:pt>
                <c:pt idx="125">
                  <c:v>450</c:v>
                </c:pt>
                <c:pt idx="126">
                  <c:v>-75.75</c:v>
                </c:pt>
                <c:pt idx="127">
                  <c:v>-884</c:v>
                </c:pt>
                <c:pt idx="128">
                  <c:v>56.6669999999995</c:v>
                </c:pt>
                <c:pt idx="129">
                  <c:v>-91.5</c:v>
                </c:pt>
                <c:pt idx="130">
                  <c:v>-63.5</c:v>
                </c:pt>
                <c:pt idx="131">
                  <c:v>167.5</c:v>
                </c:pt>
                <c:pt idx="132">
                  <c:v>419</c:v>
                </c:pt>
                <c:pt idx="133">
                  <c:v>-68.8000000000002</c:v>
                </c:pt>
                <c:pt idx="134">
                  <c:v>-884</c:v>
                </c:pt>
                <c:pt idx="135">
                  <c:v>-718</c:v>
                </c:pt>
                <c:pt idx="136">
                  <c:v>73</c:v>
                </c:pt>
                <c:pt idx="137">
                  <c:v>-3.66699999999946</c:v>
                </c:pt>
                <c:pt idx="138">
                  <c:v>-119</c:v>
                </c:pt>
                <c:pt idx="139">
                  <c:v>228</c:v>
                </c:pt>
                <c:pt idx="140">
                  <c:v>-11</c:v>
                </c:pt>
                <c:pt idx="141">
                  <c:v>58.5</c:v>
                </c:pt>
                <c:pt idx="142">
                  <c:v>-40.556</c:v>
                </c:pt>
                <c:pt idx="143">
                  <c:v>57.444</c:v>
                </c:pt>
                <c:pt idx="144">
                  <c:v>0.166999999999916</c:v>
                </c:pt>
                <c:pt idx="145">
                  <c:v>-86.333</c:v>
                </c:pt>
                <c:pt idx="146">
                  <c:v>11.667</c:v>
                </c:pt>
                <c:pt idx="147">
                  <c:v>-90.6</c:v>
                </c:pt>
                <c:pt idx="148">
                  <c:v>-10.6</c:v>
                </c:pt>
                <c:pt idx="149">
                  <c:v>-84</c:v>
                </c:pt>
                <c:pt idx="150">
                  <c:v>30</c:v>
                </c:pt>
                <c:pt idx="151">
                  <c:v>70.6000000000004</c:v>
                </c:pt>
                <c:pt idx="152">
                  <c:v>24.75</c:v>
                </c:pt>
                <c:pt idx="153">
                  <c:v>-101.333</c:v>
                </c:pt>
                <c:pt idx="154">
                  <c:v>-39.75</c:v>
                </c:pt>
                <c:pt idx="155">
                  <c:v>-1120</c:v>
                </c:pt>
                <c:pt idx="156">
                  <c:v>-81</c:v>
                </c:pt>
                <c:pt idx="157">
                  <c:v>11</c:v>
                </c:pt>
                <c:pt idx="158">
                  <c:v>-75.5</c:v>
                </c:pt>
                <c:pt idx="159">
                  <c:v>-145</c:v>
                </c:pt>
                <c:pt idx="160">
                  <c:v>-40.5</c:v>
                </c:pt>
                <c:pt idx="161">
                  <c:v>-612.8</c:v>
                </c:pt>
                <c:pt idx="162">
                  <c:v>-706</c:v>
                </c:pt>
                <c:pt idx="163">
                  <c:v>91</c:v>
                </c:pt>
                <c:pt idx="164">
                  <c:v>85</c:v>
                </c:pt>
                <c:pt idx="165">
                  <c:v>-92.6669999999995</c:v>
                </c:pt>
                <c:pt idx="166">
                  <c:v>-145</c:v>
                </c:pt>
                <c:pt idx="167">
                  <c:v>-46</c:v>
                </c:pt>
                <c:pt idx="168">
                  <c:v>-110.5</c:v>
                </c:pt>
                <c:pt idx="169">
                  <c:v>-113.556</c:v>
                </c:pt>
                <c:pt idx="170">
                  <c:v>-24.556</c:v>
                </c:pt>
                <c:pt idx="171">
                  <c:v>-3413.5</c:v>
                </c:pt>
                <c:pt idx="172">
                  <c:v>-3386.5</c:v>
                </c:pt>
                <c:pt idx="173">
                  <c:v>-66.333</c:v>
                </c:pt>
                <c:pt idx="174">
                  <c:v>60.667</c:v>
                </c:pt>
                <c:pt idx="175">
                  <c:v>69.667</c:v>
                </c:pt>
                <c:pt idx="176">
                  <c:v>19.4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Sheet4!$Z$1</c:f>
              <c:strCache>
                <c:ptCount val="1"/>
                <c:pt idx="0">
                  <c:v>REP Tree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Sheet4!$Z$2:$Z$178</c:f>
              <c:numCache>
                <c:formatCode>General</c:formatCode>
                <c:ptCount val="177"/>
                <c:pt idx="0">
                  <c:v>-713</c:v>
                </c:pt>
                <c:pt idx="1">
                  <c:v>83</c:v>
                </c:pt>
                <c:pt idx="2">
                  <c:v>142</c:v>
                </c:pt>
                <c:pt idx="3">
                  <c:v>184</c:v>
                </c:pt>
                <c:pt idx="4">
                  <c:v>304</c:v>
                </c:pt>
                <c:pt idx="5">
                  <c:v>-652.545</c:v>
                </c:pt>
                <c:pt idx="6">
                  <c:v>-612.545</c:v>
                </c:pt>
                <c:pt idx="7">
                  <c:v>-593.545</c:v>
                </c:pt>
                <c:pt idx="8">
                  <c:v>32.4549999999999</c:v>
                </c:pt>
                <c:pt idx="9">
                  <c:v>164.455</c:v>
                </c:pt>
                <c:pt idx="10">
                  <c:v>197.455</c:v>
                </c:pt>
                <c:pt idx="11">
                  <c:v>207.455</c:v>
                </c:pt>
                <c:pt idx="12">
                  <c:v>220.455</c:v>
                </c:pt>
                <c:pt idx="13">
                  <c:v>280.455</c:v>
                </c:pt>
                <c:pt idx="14">
                  <c:v>374.455</c:v>
                </c:pt>
                <c:pt idx="15">
                  <c:v>381.455</c:v>
                </c:pt>
                <c:pt idx="16">
                  <c:v>-96.2</c:v>
                </c:pt>
                <c:pt idx="17">
                  <c:v>-65.2</c:v>
                </c:pt>
                <c:pt idx="18">
                  <c:v>-53.2</c:v>
                </c:pt>
                <c:pt idx="19">
                  <c:v>34.8</c:v>
                </c:pt>
                <c:pt idx="20">
                  <c:v>179.8</c:v>
                </c:pt>
                <c:pt idx="21">
                  <c:v>-78.1999999999998</c:v>
                </c:pt>
                <c:pt idx="22">
                  <c:v>-62.1999999999998</c:v>
                </c:pt>
                <c:pt idx="23">
                  <c:v>-8.19999999999982</c:v>
                </c:pt>
                <c:pt idx="24">
                  <c:v>56.8000000000002</c:v>
                </c:pt>
                <c:pt idx="25">
                  <c:v>91.8000000000002</c:v>
                </c:pt>
                <c:pt idx="26">
                  <c:v>-719.667</c:v>
                </c:pt>
                <c:pt idx="27">
                  <c:v>-264.667</c:v>
                </c:pt>
                <c:pt idx="28">
                  <c:v>161.333</c:v>
                </c:pt>
                <c:pt idx="29">
                  <c:v>247.333</c:v>
                </c:pt>
                <c:pt idx="30">
                  <c:v>293.333</c:v>
                </c:pt>
                <c:pt idx="31">
                  <c:v>282.333</c:v>
                </c:pt>
                <c:pt idx="32">
                  <c:v>-835.2</c:v>
                </c:pt>
                <c:pt idx="33">
                  <c:v>160.8</c:v>
                </c:pt>
                <c:pt idx="34">
                  <c:v>748.8</c:v>
                </c:pt>
                <c:pt idx="35">
                  <c:v>173.333</c:v>
                </c:pt>
                <c:pt idx="36">
                  <c:v>-183.6</c:v>
                </c:pt>
                <c:pt idx="37">
                  <c:v>-104.6</c:v>
                </c:pt>
                <c:pt idx="38">
                  <c:v>-30.6000000000004</c:v>
                </c:pt>
                <c:pt idx="39">
                  <c:v>-343.824000000001</c:v>
                </c:pt>
                <c:pt idx="40">
                  <c:v>-269.824000000001</c:v>
                </c:pt>
                <c:pt idx="41">
                  <c:v>-178.824000000001</c:v>
                </c:pt>
                <c:pt idx="42">
                  <c:v>-165.824000000001</c:v>
                </c:pt>
                <c:pt idx="43">
                  <c:v>-155.824000000001</c:v>
                </c:pt>
                <c:pt idx="44">
                  <c:v>-12.8240000000005</c:v>
                </c:pt>
                <c:pt idx="45">
                  <c:v>-7.82400000000052</c:v>
                </c:pt>
                <c:pt idx="46">
                  <c:v>-1.82400000000052</c:v>
                </c:pt>
                <c:pt idx="47">
                  <c:v>5.17599999999948</c:v>
                </c:pt>
                <c:pt idx="48">
                  <c:v>-231.833</c:v>
                </c:pt>
                <c:pt idx="49">
                  <c:v>-166.833</c:v>
                </c:pt>
                <c:pt idx="50">
                  <c:v>-594.5</c:v>
                </c:pt>
                <c:pt idx="51">
                  <c:v>-136.5</c:v>
                </c:pt>
                <c:pt idx="52">
                  <c:v>330.5</c:v>
                </c:pt>
                <c:pt idx="53">
                  <c:v>-158</c:v>
                </c:pt>
                <c:pt idx="54">
                  <c:v>-142</c:v>
                </c:pt>
                <c:pt idx="55">
                  <c:v>-107.333</c:v>
                </c:pt>
                <c:pt idx="56">
                  <c:v>-96.3329999999996</c:v>
                </c:pt>
                <c:pt idx="57">
                  <c:v>-191.8</c:v>
                </c:pt>
                <c:pt idx="58">
                  <c:v>-109.8</c:v>
                </c:pt>
                <c:pt idx="59">
                  <c:v>-59.8000000000002</c:v>
                </c:pt>
                <c:pt idx="60">
                  <c:v>-22.8000000000002</c:v>
                </c:pt>
                <c:pt idx="61">
                  <c:v>-0.800000000000182</c:v>
                </c:pt>
                <c:pt idx="62">
                  <c:v>-535.2</c:v>
                </c:pt>
                <c:pt idx="63">
                  <c:v>460.8</c:v>
                </c:pt>
                <c:pt idx="64">
                  <c:v>-646.667</c:v>
                </c:pt>
                <c:pt idx="65">
                  <c:v>473.333</c:v>
                </c:pt>
                <c:pt idx="66">
                  <c:v>116.4</c:v>
                </c:pt>
                <c:pt idx="67">
                  <c:v>202.4</c:v>
                </c:pt>
                <c:pt idx="68">
                  <c:v>-43.8240000000005</c:v>
                </c:pt>
                <c:pt idx="69">
                  <c:v>22.1759999999995</c:v>
                </c:pt>
                <c:pt idx="70">
                  <c:v>30.1759999999995</c:v>
                </c:pt>
                <c:pt idx="71">
                  <c:v>88.1759999999995</c:v>
                </c:pt>
                <c:pt idx="72">
                  <c:v>144.175999999999</c:v>
                </c:pt>
                <c:pt idx="73">
                  <c:v>287.175999999999</c:v>
                </c:pt>
                <c:pt idx="74">
                  <c:v>298.175999999999</c:v>
                </c:pt>
                <c:pt idx="75">
                  <c:v>305.175999999999</c:v>
                </c:pt>
                <c:pt idx="76">
                  <c:v>25.1669999999999</c:v>
                </c:pt>
                <c:pt idx="77">
                  <c:v>37.1669999999999</c:v>
                </c:pt>
                <c:pt idx="78">
                  <c:v>68.1669999999999</c:v>
                </c:pt>
                <c:pt idx="79">
                  <c:v>268.167</c:v>
                </c:pt>
                <c:pt idx="80">
                  <c:v>-294.5</c:v>
                </c:pt>
                <c:pt idx="81">
                  <c:v>64.5</c:v>
                </c:pt>
                <c:pt idx="82">
                  <c:v>630.5</c:v>
                </c:pt>
                <c:pt idx="83">
                  <c:v>142</c:v>
                </c:pt>
                <c:pt idx="84">
                  <c:v>158</c:v>
                </c:pt>
                <c:pt idx="85">
                  <c:v>203.667</c:v>
                </c:pt>
                <c:pt idx="86">
                  <c:v>-489.8</c:v>
                </c:pt>
                <c:pt idx="87">
                  <c:v>154.2</c:v>
                </c:pt>
                <c:pt idx="88">
                  <c:v>190.2</c:v>
                </c:pt>
                <c:pt idx="89">
                  <c:v>231.2</c:v>
                </c:pt>
                <c:pt idx="90">
                  <c:v>299.2</c:v>
                </c:pt>
                <c:pt idx="91">
                  <c:v>-44.5</c:v>
                </c:pt>
                <c:pt idx="92">
                  <c:v>-29.5</c:v>
                </c:pt>
                <c:pt idx="93">
                  <c:v>-28.5</c:v>
                </c:pt>
                <c:pt idx="94">
                  <c:v>0.5</c:v>
                </c:pt>
                <c:pt idx="95">
                  <c:v>7.5</c:v>
                </c:pt>
                <c:pt idx="96">
                  <c:v>17.5</c:v>
                </c:pt>
                <c:pt idx="97">
                  <c:v>36.5</c:v>
                </c:pt>
                <c:pt idx="98">
                  <c:v>40.5</c:v>
                </c:pt>
                <c:pt idx="99">
                  <c:v>-143</c:v>
                </c:pt>
                <c:pt idx="100">
                  <c:v>-68</c:v>
                </c:pt>
                <c:pt idx="101">
                  <c:v>-54</c:v>
                </c:pt>
                <c:pt idx="102">
                  <c:v>9</c:v>
                </c:pt>
                <c:pt idx="103">
                  <c:v>54</c:v>
                </c:pt>
                <c:pt idx="104">
                  <c:v>84</c:v>
                </c:pt>
                <c:pt idx="105">
                  <c:v>118</c:v>
                </c:pt>
                <c:pt idx="106">
                  <c:v>-90.333</c:v>
                </c:pt>
                <c:pt idx="107">
                  <c:v>-70.333</c:v>
                </c:pt>
                <c:pt idx="108">
                  <c:v>-18.333</c:v>
                </c:pt>
                <c:pt idx="109">
                  <c:v>49.667</c:v>
                </c:pt>
                <c:pt idx="110">
                  <c:v>57.667</c:v>
                </c:pt>
                <c:pt idx="111">
                  <c:v>71.667</c:v>
                </c:pt>
                <c:pt idx="112">
                  <c:v>-76.5</c:v>
                </c:pt>
                <c:pt idx="113">
                  <c:v>-69.5</c:v>
                </c:pt>
                <c:pt idx="114">
                  <c:v>-64.5</c:v>
                </c:pt>
                <c:pt idx="115">
                  <c:v>-8.5</c:v>
                </c:pt>
                <c:pt idx="116">
                  <c:v>37.5</c:v>
                </c:pt>
                <c:pt idx="117">
                  <c:v>57.5</c:v>
                </c:pt>
                <c:pt idx="118">
                  <c:v>59.5</c:v>
                </c:pt>
                <c:pt idx="119">
                  <c:v>64.5</c:v>
                </c:pt>
                <c:pt idx="121">
                  <c:v>1613</c:v>
                </c:pt>
                <c:pt idx="122">
                  <c:v>106.455</c:v>
                </c:pt>
                <c:pt idx="123">
                  <c:v>367.455</c:v>
                </c:pt>
                <c:pt idx="124">
                  <c:v>-108.2</c:v>
                </c:pt>
                <c:pt idx="125">
                  <c:v>629.8</c:v>
                </c:pt>
                <c:pt idx="126">
                  <c:v>170.333</c:v>
                </c:pt>
                <c:pt idx="127">
                  <c:v>-1719.2</c:v>
                </c:pt>
                <c:pt idx="128">
                  <c:v>-49.6000000000004</c:v>
                </c:pt>
                <c:pt idx="129">
                  <c:v>-95.8240000000005</c:v>
                </c:pt>
                <c:pt idx="130">
                  <c:v>-262.833</c:v>
                </c:pt>
                <c:pt idx="131">
                  <c:v>-31.8330000000001</c:v>
                </c:pt>
                <c:pt idx="132">
                  <c:v>269</c:v>
                </c:pt>
                <c:pt idx="133">
                  <c:v>-145.8</c:v>
                </c:pt>
                <c:pt idx="134">
                  <c:v>-1419.2</c:v>
                </c:pt>
                <c:pt idx="135">
                  <c:v>269.4</c:v>
                </c:pt>
                <c:pt idx="136">
                  <c:v>121.175999999999</c:v>
                </c:pt>
                <c:pt idx="137">
                  <c:v>293.175999999999</c:v>
                </c:pt>
                <c:pt idx="138">
                  <c:v>149.167</c:v>
                </c:pt>
                <c:pt idx="139">
                  <c:v>378</c:v>
                </c:pt>
                <c:pt idx="140">
                  <c:v>192.667</c:v>
                </c:pt>
                <c:pt idx="141">
                  <c:v>277.2</c:v>
                </c:pt>
                <c:pt idx="142">
                  <c:v>-31.5</c:v>
                </c:pt>
                <c:pt idx="143">
                  <c:v>-158</c:v>
                </c:pt>
                <c:pt idx="144">
                  <c:v>24</c:v>
                </c:pt>
                <c:pt idx="145">
                  <c:v>-50.333</c:v>
                </c:pt>
                <c:pt idx="146">
                  <c:v>47.667</c:v>
                </c:pt>
                <c:pt idx="147">
                  <c:v>-48.5</c:v>
                </c:pt>
                <c:pt idx="148">
                  <c:v>31.5</c:v>
                </c:pt>
                <c:pt idx="149">
                  <c:v>-797</c:v>
                </c:pt>
                <c:pt idx="150">
                  <c:v>62.4549999999999</c:v>
                </c:pt>
                <c:pt idx="151">
                  <c:v>363.455</c:v>
                </c:pt>
                <c:pt idx="152">
                  <c:v>-20.2</c:v>
                </c:pt>
                <c:pt idx="153">
                  <c:v>-84.1999999999998</c:v>
                </c:pt>
                <c:pt idx="154">
                  <c:v>206.333</c:v>
                </c:pt>
                <c:pt idx="155">
                  <c:v>-946.667</c:v>
                </c:pt>
                <c:pt idx="156">
                  <c:v>-303.824000000001</c:v>
                </c:pt>
                <c:pt idx="157">
                  <c:v>-211.824000000001</c:v>
                </c:pt>
                <c:pt idx="158">
                  <c:v>-274.833</c:v>
                </c:pt>
                <c:pt idx="159">
                  <c:v>-739.5</c:v>
                </c:pt>
                <c:pt idx="160">
                  <c:v>-142.333</c:v>
                </c:pt>
                <c:pt idx="161">
                  <c:v>-689.8</c:v>
                </c:pt>
                <c:pt idx="162">
                  <c:v>855.8</c:v>
                </c:pt>
                <c:pt idx="163">
                  <c:v>250.4</c:v>
                </c:pt>
                <c:pt idx="164">
                  <c:v>133.175999999999</c:v>
                </c:pt>
                <c:pt idx="165">
                  <c:v>204.175999999999</c:v>
                </c:pt>
                <c:pt idx="166">
                  <c:v>-439.5</c:v>
                </c:pt>
                <c:pt idx="167">
                  <c:v>157.667</c:v>
                </c:pt>
                <c:pt idx="168">
                  <c:v>108.2</c:v>
                </c:pt>
                <c:pt idx="169">
                  <c:v>-104.5</c:v>
                </c:pt>
                <c:pt idx="170">
                  <c:v>-15.5</c:v>
                </c:pt>
                <c:pt idx="171">
                  <c:v>-121</c:v>
                </c:pt>
                <c:pt idx="172">
                  <c:v>-94</c:v>
                </c:pt>
                <c:pt idx="173">
                  <c:v>-30.333</c:v>
                </c:pt>
                <c:pt idx="174">
                  <c:v>-81.5</c:v>
                </c:pt>
                <c:pt idx="175">
                  <c:v>-72.5</c:v>
                </c:pt>
                <c:pt idx="176">
                  <c:v>61.5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Sheet4!$AA$1</c:f>
              <c:strCache>
                <c:ptCount val="1"/>
                <c:pt idx="0">
                  <c:v>GP_PUK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Sheet4!$AA$2:$AA$178</c:f>
              <c:numCache>
                <c:formatCode>General</c:formatCode>
                <c:ptCount val="177"/>
                <c:pt idx="0">
                  <c:v>-254.25</c:v>
                </c:pt>
                <c:pt idx="1">
                  <c:v>324.876</c:v>
                </c:pt>
                <c:pt idx="2">
                  <c:v>133.139</c:v>
                </c:pt>
                <c:pt idx="3">
                  <c:v>-115.475</c:v>
                </c:pt>
                <c:pt idx="4">
                  <c:v>-328.723</c:v>
                </c:pt>
                <c:pt idx="5">
                  <c:v>333.708</c:v>
                </c:pt>
                <c:pt idx="6">
                  <c:v>23.9380000000001</c:v>
                </c:pt>
                <c:pt idx="7">
                  <c:v>-252.908</c:v>
                </c:pt>
                <c:pt idx="8">
                  <c:v>148.007</c:v>
                </c:pt>
                <c:pt idx="9">
                  <c:v>-10.2669999999998</c:v>
                </c:pt>
                <c:pt idx="10">
                  <c:v>-0.668999999999869</c:v>
                </c:pt>
                <c:pt idx="11">
                  <c:v>-7.81900000000041</c:v>
                </c:pt>
                <c:pt idx="12">
                  <c:v>-16.8980000000001</c:v>
                </c:pt>
                <c:pt idx="13">
                  <c:v>12.3720000000003</c:v>
                </c:pt>
                <c:pt idx="14">
                  <c:v>8.28999999999996</c:v>
                </c:pt>
                <c:pt idx="15">
                  <c:v>4.77400000000034</c:v>
                </c:pt>
                <c:pt idx="16">
                  <c:v>-44.332</c:v>
                </c:pt>
                <c:pt idx="17">
                  <c:v>39.52</c:v>
                </c:pt>
                <c:pt idx="18">
                  <c:v>53.835</c:v>
                </c:pt>
                <c:pt idx="19">
                  <c:v>-57.3989999999999</c:v>
                </c:pt>
                <c:pt idx="20">
                  <c:v>-111.97</c:v>
                </c:pt>
                <c:pt idx="21">
                  <c:v>154.147</c:v>
                </c:pt>
                <c:pt idx="22">
                  <c:v>39.471</c:v>
                </c:pt>
                <c:pt idx="23">
                  <c:v>7.5300000000002</c:v>
                </c:pt>
                <c:pt idx="24">
                  <c:v>-4.57299999999987</c:v>
                </c:pt>
                <c:pt idx="25">
                  <c:v>-77.259</c:v>
                </c:pt>
                <c:pt idx="26">
                  <c:v>-225.867</c:v>
                </c:pt>
                <c:pt idx="27">
                  <c:v>25.9409999999998</c:v>
                </c:pt>
                <c:pt idx="28">
                  <c:v>238.306</c:v>
                </c:pt>
                <c:pt idx="29">
                  <c:v>-46.4380000000001</c:v>
                </c:pt>
                <c:pt idx="30">
                  <c:v>-12.1019999999999</c:v>
                </c:pt>
                <c:pt idx="31">
                  <c:v>-9.75599999999986</c:v>
                </c:pt>
                <c:pt idx="32">
                  <c:v>-94.0299999999997</c:v>
                </c:pt>
                <c:pt idx="33">
                  <c:v>121.723</c:v>
                </c:pt>
                <c:pt idx="34">
                  <c:v>-152.744</c:v>
                </c:pt>
                <c:pt idx="35">
                  <c:v>-190.104</c:v>
                </c:pt>
                <c:pt idx="36">
                  <c:v>461.281999999999</c:v>
                </c:pt>
                <c:pt idx="37">
                  <c:v>57.6949999999997</c:v>
                </c:pt>
                <c:pt idx="38">
                  <c:v>-374.843000000001</c:v>
                </c:pt>
                <c:pt idx="39">
                  <c:v>135.253000000001</c:v>
                </c:pt>
                <c:pt idx="40">
                  <c:v>57.7939999999999</c:v>
                </c:pt>
                <c:pt idx="41">
                  <c:v>30.4490000000005</c:v>
                </c:pt>
                <c:pt idx="42">
                  <c:v>-6.15200000000004</c:v>
                </c:pt>
                <c:pt idx="43">
                  <c:v>-42.9240000000009</c:v>
                </c:pt>
                <c:pt idx="44">
                  <c:v>11.9850000000006</c:v>
                </c:pt>
                <c:pt idx="45">
                  <c:v>-10.8140000000003</c:v>
                </c:pt>
                <c:pt idx="46">
                  <c:v>-3.15699999999924</c:v>
                </c:pt>
                <c:pt idx="47">
                  <c:v>50.4789999999994</c:v>
                </c:pt>
                <c:pt idx="48">
                  <c:v>19.654</c:v>
                </c:pt>
                <c:pt idx="49">
                  <c:v>-41.2919999999999</c:v>
                </c:pt>
                <c:pt idx="50">
                  <c:v>11.056</c:v>
                </c:pt>
                <c:pt idx="51">
                  <c:v>-101.456</c:v>
                </c:pt>
                <c:pt idx="52">
                  <c:v>-223.947</c:v>
                </c:pt>
                <c:pt idx="53">
                  <c:v>421.247</c:v>
                </c:pt>
                <c:pt idx="54">
                  <c:v>-30.6940000000004</c:v>
                </c:pt>
                <c:pt idx="55">
                  <c:v>-6.39900000000034</c:v>
                </c:pt>
                <c:pt idx="56">
                  <c:v>-240.608</c:v>
                </c:pt>
                <c:pt idx="57">
                  <c:v>231.547</c:v>
                </c:pt>
                <c:pt idx="58">
                  <c:v>-15.54</c:v>
                </c:pt>
                <c:pt idx="59">
                  <c:v>-39.8760000000002</c:v>
                </c:pt>
                <c:pt idx="60">
                  <c:v>-20.6390000000001</c:v>
                </c:pt>
                <c:pt idx="61">
                  <c:v>27.2950000000001</c:v>
                </c:pt>
                <c:pt idx="62">
                  <c:v>-116.077</c:v>
                </c:pt>
                <c:pt idx="63">
                  <c:v>199.882</c:v>
                </c:pt>
                <c:pt idx="64">
                  <c:v>-352.13</c:v>
                </c:pt>
                <c:pt idx="65">
                  <c:v>-80.4390000000003</c:v>
                </c:pt>
                <c:pt idx="66">
                  <c:v>472.566999999999</c:v>
                </c:pt>
                <c:pt idx="67">
                  <c:v>-38.3279999999995</c:v>
                </c:pt>
                <c:pt idx="68">
                  <c:v>-75.3610000000008</c:v>
                </c:pt>
                <c:pt idx="69">
                  <c:v>-26.5300000000007</c:v>
                </c:pt>
                <c:pt idx="70">
                  <c:v>-8.71800000000076</c:v>
                </c:pt>
                <c:pt idx="71">
                  <c:v>52.6209999999992</c:v>
                </c:pt>
                <c:pt idx="72">
                  <c:v>-12.9069999999992</c:v>
                </c:pt>
                <c:pt idx="73">
                  <c:v>4.04099999999926</c:v>
                </c:pt>
                <c:pt idx="74">
                  <c:v>-14.2600000000002</c:v>
                </c:pt>
                <c:pt idx="75">
                  <c:v>52.3989999999994</c:v>
                </c:pt>
                <c:pt idx="76">
                  <c:v>-40.4100000000001</c:v>
                </c:pt>
                <c:pt idx="77">
                  <c:v>31.5940000000001</c:v>
                </c:pt>
                <c:pt idx="78">
                  <c:v>51.085</c:v>
                </c:pt>
                <c:pt idx="79">
                  <c:v>-97.864</c:v>
                </c:pt>
                <c:pt idx="80">
                  <c:v>71.558</c:v>
                </c:pt>
                <c:pt idx="81">
                  <c:v>-156.342</c:v>
                </c:pt>
                <c:pt idx="82">
                  <c:v>-201.811</c:v>
                </c:pt>
                <c:pt idx="83">
                  <c:v>424.085</c:v>
                </c:pt>
                <c:pt idx="84">
                  <c:v>-36.1459999999997</c:v>
                </c:pt>
                <c:pt idx="85">
                  <c:v>-149.116</c:v>
                </c:pt>
                <c:pt idx="86">
                  <c:v>-30.442</c:v>
                </c:pt>
                <c:pt idx="87">
                  <c:v>156.547</c:v>
                </c:pt>
                <c:pt idx="88">
                  <c:v>16.6850000000004</c:v>
                </c:pt>
                <c:pt idx="89">
                  <c:v>-52.5420000000004</c:v>
                </c:pt>
                <c:pt idx="90">
                  <c:v>-1.03700000000026</c:v>
                </c:pt>
                <c:pt idx="91">
                  <c:v>-15.2330000000002</c:v>
                </c:pt>
                <c:pt idx="92">
                  <c:v>7.37100000000009</c:v>
                </c:pt>
                <c:pt idx="93">
                  <c:v>-0.916999999999916</c:v>
                </c:pt>
                <c:pt idx="94">
                  <c:v>2.59999999999991</c:v>
                </c:pt>
                <c:pt idx="95">
                  <c:v>-2.4369999999999</c:v>
                </c:pt>
                <c:pt idx="96">
                  <c:v>-3.72600000000011</c:v>
                </c:pt>
                <c:pt idx="97">
                  <c:v>3.66499999999996</c:v>
                </c:pt>
                <c:pt idx="98">
                  <c:v>-5.63799999999992</c:v>
                </c:pt>
                <c:pt idx="99">
                  <c:v>-0.550999999999931</c:v>
                </c:pt>
                <c:pt idx="100">
                  <c:v>-2.74099999999999</c:v>
                </c:pt>
                <c:pt idx="101">
                  <c:v>-16.6770000000001</c:v>
                </c:pt>
                <c:pt idx="102">
                  <c:v>18.9830000000002</c:v>
                </c:pt>
                <c:pt idx="103">
                  <c:v>5.94799999999987</c:v>
                </c:pt>
                <c:pt idx="104">
                  <c:v>-2.27199999999993</c:v>
                </c:pt>
                <c:pt idx="105">
                  <c:v>-19.3620000000001</c:v>
                </c:pt>
                <c:pt idx="106">
                  <c:v>-36.059</c:v>
                </c:pt>
                <c:pt idx="107">
                  <c:v>11.4</c:v>
                </c:pt>
                <c:pt idx="108">
                  <c:v>3.41999999999996</c:v>
                </c:pt>
                <c:pt idx="109">
                  <c:v>6.75599999999997</c:v>
                </c:pt>
                <c:pt idx="110">
                  <c:v>-7.20899999999995</c:v>
                </c:pt>
                <c:pt idx="111">
                  <c:v>-7.30799999999999</c:v>
                </c:pt>
                <c:pt idx="112">
                  <c:v>8.65099999999995</c:v>
                </c:pt>
                <c:pt idx="113">
                  <c:v>-2.83100000000002</c:v>
                </c:pt>
                <c:pt idx="114">
                  <c:v>-15.445</c:v>
                </c:pt>
                <c:pt idx="115">
                  <c:v>-6.58299999999997</c:v>
                </c:pt>
                <c:pt idx="116">
                  <c:v>4.14400000000001</c:v>
                </c:pt>
                <c:pt idx="117">
                  <c:v>16.3339999999999</c:v>
                </c:pt>
                <c:pt idx="118">
                  <c:v>10.793</c:v>
                </c:pt>
                <c:pt idx="119">
                  <c:v>-44.617</c:v>
                </c:pt>
                <c:pt idx="121">
                  <c:v>614.097</c:v>
                </c:pt>
                <c:pt idx="122">
                  <c:v>-21.2709999999997</c:v>
                </c:pt>
                <c:pt idx="123">
                  <c:v>27.4769999999999</c:v>
                </c:pt>
                <c:pt idx="124">
                  <c:v>-144.169</c:v>
                </c:pt>
                <c:pt idx="125">
                  <c:v>102.937</c:v>
                </c:pt>
                <c:pt idx="126">
                  <c:v>63.556</c:v>
                </c:pt>
                <c:pt idx="127">
                  <c:v>-329.419</c:v>
                </c:pt>
                <c:pt idx="128">
                  <c:v>-203.397000000001</c:v>
                </c:pt>
                <c:pt idx="129">
                  <c:v>-28.9660000000003</c:v>
                </c:pt>
                <c:pt idx="130">
                  <c:v>8.27700000000004</c:v>
                </c:pt>
                <c:pt idx="131">
                  <c:v>-157.426</c:v>
                </c:pt>
                <c:pt idx="132">
                  <c:v>6.22999999999956</c:v>
                </c:pt>
                <c:pt idx="133">
                  <c:v>85.1840000000002</c:v>
                </c:pt>
                <c:pt idx="134">
                  <c:v>-457.861</c:v>
                </c:pt>
                <c:pt idx="135">
                  <c:v>-606.852999999999</c:v>
                </c:pt>
                <c:pt idx="136">
                  <c:v>66.9950000000008</c:v>
                </c:pt>
                <c:pt idx="137">
                  <c:v>-24.9060000000009</c:v>
                </c:pt>
                <c:pt idx="138">
                  <c:v>20.433</c:v>
                </c:pt>
                <c:pt idx="139">
                  <c:v>-182.15</c:v>
                </c:pt>
                <c:pt idx="140">
                  <c:v>54.1099999999997</c:v>
                </c:pt>
                <c:pt idx="141">
                  <c:v>-45.9129999999996</c:v>
                </c:pt>
                <c:pt idx="142">
                  <c:v>7.34900000000016</c:v>
                </c:pt>
                <c:pt idx="143">
                  <c:v>4.18100000000004</c:v>
                </c:pt>
                <c:pt idx="144">
                  <c:v>6.48000000000002</c:v>
                </c:pt>
                <c:pt idx="145">
                  <c:v>28.594</c:v>
                </c:pt>
                <c:pt idx="146">
                  <c:v>34.585</c:v>
                </c:pt>
                <c:pt idx="147">
                  <c:v>-22.225</c:v>
                </c:pt>
                <c:pt idx="148">
                  <c:v>12.345</c:v>
                </c:pt>
                <c:pt idx="149">
                  <c:v>-153.972</c:v>
                </c:pt>
                <c:pt idx="150">
                  <c:v>25.4470000000001</c:v>
                </c:pt>
                <c:pt idx="151">
                  <c:v>58.8440000000001</c:v>
                </c:pt>
                <c:pt idx="152">
                  <c:v>23.549</c:v>
                </c:pt>
                <c:pt idx="153">
                  <c:v>336.684</c:v>
                </c:pt>
                <c:pt idx="154">
                  <c:v>-26.0149999999999</c:v>
                </c:pt>
                <c:pt idx="155">
                  <c:v>-511.335</c:v>
                </c:pt>
                <c:pt idx="156">
                  <c:v>93.2389999999996</c:v>
                </c:pt>
                <c:pt idx="157">
                  <c:v>53.1219999999994</c:v>
                </c:pt>
                <c:pt idx="158">
                  <c:v>-65.154</c:v>
                </c:pt>
                <c:pt idx="159">
                  <c:v>361.389</c:v>
                </c:pt>
                <c:pt idx="160">
                  <c:v>215.731</c:v>
                </c:pt>
                <c:pt idx="161">
                  <c:v>-37.54</c:v>
                </c:pt>
                <c:pt idx="162">
                  <c:v>-199.658</c:v>
                </c:pt>
                <c:pt idx="163">
                  <c:v>-397.24</c:v>
                </c:pt>
                <c:pt idx="164">
                  <c:v>36.4030000000002</c:v>
                </c:pt>
                <c:pt idx="165">
                  <c:v>-19.8199999999997</c:v>
                </c:pt>
                <c:pt idx="166">
                  <c:v>427.269</c:v>
                </c:pt>
                <c:pt idx="167">
                  <c:v>242.613</c:v>
                </c:pt>
                <c:pt idx="168">
                  <c:v>331.347</c:v>
                </c:pt>
                <c:pt idx="169">
                  <c:v>-99.6500000000001</c:v>
                </c:pt>
                <c:pt idx="170">
                  <c:v>-0.465000000000146</c:v>
                </c:pt>
                <c:pt idx="171">
                  <c:v>-1.84099999999989</c:v>
                </c:pt>
                <c:pt idx="172">
                  <c:v>-0.992999999999938</c:v>
                </c:pt>
                <c:pt idx="173">
                  <c:v>25.108</c:v>
                </c:pt>
                <c:pt idx="174">
                  <c:v>9.40999999999997</c:v>
                </c:pt>
                <c:pt idx="175">
                  <c:v>5.65899999999999</c:v>
                </c:pt>
                <c:pt idx="176">
                  <c:v>-5.53499999999997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Sheet4!$AB$1</c:f>
              <c:strCache>
                <c:ptCount val="1"/>
                <c:pt idx="0">
                  <c:v>GP_RBF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Sheet4!$S$2:$S$178</c:f>
              <c:numCache>
                <c:formatCode>General</c:formatCode>
                <c:ptCount val="1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</c:numCache>
            </c:numRef>
          </c:xVal>
          <c:yVal>
            <c:numRef>
              <c:f>Sheet4!$AB$2:$AB$178</c:f>
              <c:numCache>
                <c:formatCode>General</c:formatCode>
                <c:ptCount val="177"/>
                <c:pt idx="0">
                  <c:v>-116.285</c:v>
                </c:pt>
                <c:pt idx="1">
                  <c:v>322.17</c:v>
                </c:pt>
                <c:pt idx="2">
                  <c:v>28.703</c:v>
                </c:pt>
                <c:pt idx="3">
                  <c:v>-271.393</c:v>
                </c:pt>
                <c:pt idx="4">
                  <c:v>-478.265</c:v>
                </c:pt>
                <c:pt idx="5">
                  <c:v>333.098</c:v>
                </c:pt>
                <c:pt idx="6">
                  <c:v>114.772</c:v>
                </c:pt>
                <c:pt idx="7">
                  <c:v>-96.585</c:v>
                </c:pt>
                <c:pt idx="8">
                  <c:v>328.221</c:v>
                </c:pt>
                <c:pt idx="9">
                  <c:v>31.4709999999995</c:v>
                </c:pt>
                <c:pt idx="10">
                  <c:v>-23.8530000000001</c:v>
                </c:pt>
                <c:pt idx="11">
                  <c:v>-78.2330000000002</c:v>
                </c:pt>
                <c:pt idx="12">
                  <c:v>-108.356</c:v>
                </c:pt>
                <c:pt idx="13">
                  <c:v>-73.1779999999999</c:v>
                </c:pt>
                <c:pt idx="14">
                  <c:v>25.1670000000004</c:v>
                </c:pt>
                <c:pt idx="15">
                  <c:v>49.924</c:v>
                </c:pt>
                <c:pt idx="16">
                  <c:v>108.843</c:v>
                </c:pt>
                <c:pt idx="17">
                  <c:v>59.7140000000001</c:v>
                </c:pt>
                <c:pt idx="18">
                  <c:v>-26.244</c:v>
                </c:pt>
                <c:pt idx="19">
                  <c:v>-179.963</c:v>
                </c:pt>
                <c:pt idx="20">
                  <c:v>-174.298</c:v>
                </c:pt>
                <c:pt idx="21">
                  <c:v>283.154</c:v>
                </c:pt>
                <c:pt idx="22">
                  <c:v>138.438</c:v>
                </c:pt>
                <c:pt idx="23">
                  <c:v>32.4209999999998</c:v>
                </c:pt>
                <c:pt idx="24">
                  <c:v>-59.7539999999999</c:v>
                </c:pt>
                <c:pt idx="25">
                  <c:v>-177.17</c:v>
                </c:pt>
                <c:pt idx="26">
                  <c:v>-312.175</c:v>
                </c:pt>
                <c:pt idx="27">
                  <c:v>4.5949999999998</c:v>
                </c:pt>
                <c:pt idx="28">
                  <c:v>301.199</c:v>
                </c:pt>
                <c:pt idx="29">
                  <c:v>58.009</c:v>
                </c:pt>
                <c:pt idx="30">
                  <c:v>14.4940000000001</c:v>
                </c:pt>
                <c:pt idx="31">
                  <c:v>-76.2840000000001</c:v>
                </c:pt>
                <c:pt idx="32">
                  <c:v>-410.366</c:v>
                </c:pt>
                <c:pt idx="33">
                  <c:v>-149.172</c:v>
                </c:pt>
                <c:pt idx="34">
                  <c:v>-260.757</c:v>
                </c:pt>
                <c:pt idx="35">
                  <c:v>114.313</c:v>
                </c:pt>
                <c:pt idx="36">
                  <c:v>878.969</c:v>
                </c:pt>
                <c:pt idx="37">
                  <c:v>476.529</c:v>
                </c:pt>
                <c:pt idx="38">
                  <c:v>-215.059999999999</c:v>
                </c:pt>
                <c:pt idx="39">
                  <c:v>126.598</c:v>
                </c:pt>
                <c:pt idx="40">
                  <c:v>-183.938</c:v>
                </c:pt>
                <c:pt idx="41">
                  <c:v>-264.440000000001</c:v>
                </c:pt>
                <c:pt idx="42">
                  <c:v>-272.939</c:v>
                </c:pt>
                <c:pt idx="43">
                  <c:v>-250.974</c:v>
                </c:pt>
                <c:pt idx="44">
                  <c:v>-12.0470000000005</c:v>
                </c:pt>
                <c:pt idx="45">
                  <c:v>63.5429999999997</c:v>
                </c:pt>
                <c:pt idx="46">
                  <c:v>147.308999999999</c:v>
                </c:pt>
                <c:pt idx="47">
                  <c:v>234.343999999999</c:v>
                </c:pt>
                <c:pt idx="48">
                  <c:v>210.909</c:v>
                </c:pt>
                <c:pt idx="49">
                  <c:v>-132.295</c:v>
                </c:pt>
                <c:pt idx="50">
                  <c:v>-265.26</c:v>
                </c:pt>
                <c:pt idx="51">
                  <c:v>-252.72</c:v>
                </c:pt>
                <c:pt idx="52">
                  <c:v>-224.292</c:v>
                </c:pt>
                <c:pt idx="53">
                  <c:v>545.149</c:v>
                </c:pt>
                <c:pt idx="54">
                  <c:v>154.286</c:v>
                </c:pt>
                <c:pt idx="55">
                  <c:v>47.634</c:v>
                </c:pt>
                <c:pt idx="56">
                  <c:v>-229.353</c:v>
                </c:pt>
                <c:pt idx="57">
                  <c:v>250.48</c:v>
                </c:pt>
                <c:pt idx="58">
                  <c:v>21.1899999999996</c:v>
                </c:pt>
                <c:pt idx="59">
                  <c:v>-28.6310000000003</c:v>
                </c:pt>
                <c:pt idx="60">
                  <c:v>-56.4179999999997</c:v>
                </c:pt>
                <c:pt idx="61">
                  <c:v>-66.5150000000003</c:v>
                </c:pt>
                <c:pt idx="62">
                  <c:v>-420.688</c:v>
                </c:pt>
                <c:pt idx="63">
                  <c:v>-147.856</c:v>
                </c:pt>
                <c:pt idx="64">
                  <c:v>-390.351</c:v>
                </c:pt>
                <c:pt idx="65">
                  <c:v>126.593</c:v>
                </c:pt>
                <c:pt idx="66">
                  <c:v>887.527</c:v>
                </c:pt>
                <c:pt idx="67">
                  <c:v>485.370000000001</c:v>
                </c:pt>
                <c:pt idx="68">
                  <c:v>97.0460000000003</c:v>
                </c:pt>
                <c:pt idx="69">
                  <c:v>-70.1239999999998</c:v>
                </c:pt>
                <c:pt idx="70">
                  <c:v>-235.700000000001</c:v>
                </c:pt>
                <c:pt idx="71">
                  <c:v>-296.043</c:v>
                </c:pt>
                <c:pt idx="72">
                  <c:v>-320.382</c:v>
                </c:pt>
                <c:pt idx="73">
                  <c:v>-66.5740000000005</c:v>
                </c:pt>
                <c:pt idx="74">
                  <c:v>126.870999999999</c:v>
                </c:pt>
                <c:pt idx="75">
                  <c:v>238.065000000001</c:v>
                </c:pt>
                <c:pt idx="76">
                  <c:v>381.135</c:v>
                </c:pt>
                <c:pt idx="77">
                  <c:v>148.662</c:v>
                </c:pt>
                <c:pt idx="78">
                  <c:v>-101.995</c:v>
                </c:pt>
                <c:pt idx="79">
                  <c:v>-560.333</c:v>
                </c:pt>
                <c:pt idx="80">
                  <c:v>-265.973</c:v>
                </c:pt>
                <c:pt idx="81">
                  <c:v>-302.119</c:v>
                </c:pt>
                <c:pt idx="82">
                  <c:v>-136.015</c:v>
                </c:pt>
                <c:pt idx="83">
                  <c:v>660.766</c:v>
                </c:pt>
                <c:pt idx="84">
                  <c:v>286.513</c:v>
                </c:pt>
                <c:pt idx="85">
                  <c:v>-117.574</c:v>
                </c:pt>
                <c:pt idx="86">
                  <c:v>-42.9690000000001</c:v>
                </c:pt>
                <c:pt idx="87">
                  <c:v>164.755</c:v>
                </c:pt>
                <c:pt idx="88">
                  <c:v>38.6310000000003</c:v>
                </c:pt>
                <c:pt idx="89">
                  <c:v>-44.7299999999996</c:v>
                </c:pt>
                <c:pt idx="90">
                  <c:v>-115.627</c:v>
                </c:pt>
                <c:pt idx="91">
                  <c:v>35.7489999999998</c:v>
                </c:pt>
                <c:pt idx="92">
                  <c:v>16.5349999999999</c:v>
                </c:pt>
                <c:pt idx="93">
                  <c:v>-0.5</c:v>
                </c:pt>
                <c:pt idx="94">
                  <c:v>-6.42799999999988</c:v>
                </c:pt>
                <c:pt idx="95">
                  <c:v>-15.614</c:v>
                </c:pt>
                <c:pt idx="96">
                  <c:v>-20.7849999999999</c:v>
                </c:pt>
                <c:pt idx="97">
                  <c:v>-16.0520000000001</c:v>
                </c:pt>
                <c:pt idx="98">
                  <c:v>-25.7089999999998</c:v>
                </c:pt>
                <c:pt idx="99">
                  <c:v>-12.1660000000002</c:v>
                </c:pt>
                <c:pt idx="100">
                  <c:v>10.8470000000002</c:v>
                </c:pt>
                <c:pt idx="101">
                  <c:v>1.42599999999993</c:v>
                </c:pt>
                <c:pt idx="102">
                  <c:v>36.623</c:v>
                </c:pt>
                <c:pt idx="103">
                  <c:v>10.1410000000001</c:v>
                </c:pt>
                <c:pt idx="104">
                  <c:v>-4.59999999999991</c:v>
                </c:pt>
                <c:pt idx="105">
                  <c:v>-21.7959999999998</c:v>
                </c:pt>
                <c:pt idx="106">
                  <c:v>-55.925</c:v>
                </c:pt>
                <c:pt idx="107">
                  <c:v>-27.837</c:v>
                </c:pt>
                <c:pt idx="108">
                  <c:v>6.43700000000001</c:v>
                </c:pt>
                <c:pt idx="109">
                  <c:v>40.34</c:v>
                </c:pt>
                <c:pt idx="110">
                  <c:v>28.249</c:v>
                </c:pt>
                <c:pt idx="111">
                  <c:v>21.506</c:v>
                </c:pt>
                <c:pt idx="112">
                  <c:v>11.149</c:v>
                </c:pt>
                <c:pt idx="113">
                  <c:v>-17.683</c:v>
                </c:pt>
                <c:pt idx="114">
                  <c:v>-28.636</c:v>
                </c:pt>
                <c:pt idx="115">
                  <c:v>-2.06799999999998</c:v>
                </c:pt>
                <c:pt idx="116">
                  <c:v>13.553</c:v>
                </c:pt>
                <c:pt idx="117">
                  <c:v>15.852</c:v>
                </c:pt>
                <c:pt idx="118">
                  <c:v>-2.86599999999999</c:v>
                </c:pt>
                <c:pt idx="119">
                  <c:v>-52.561</c:v>
                </c:pt>
                <c:pt idx="121">
                  <c:v>523.366</c:v>
                </c:pt>
                <c:pt idx="122">
                  <c:v>88.0219999999999</c:v>
                </c:pt>
                <c:pt idx="123">
                  <c:v>6.65200000000004</c:v>
                </c:pt>
                <c:pt idx="124">
                  <c:v>157.595</c:v>
                </c:pt>
                <c:pt idx="125">
                  <c:v>127.267</c:v>
                </c:pt>
                <c:pt idx="126">
                  <c:v>190.387</c:v>
                </c:pt>
                <c:pt idx="127">
                  <c:v>-534.779</c:v>
                </c:pt>
                <c:pt idx="128">
                  <c:v>115.593000000001</c:v>
                </c:pt>
                <c:pt idx="129">
                  <c:v>-152.701999999999</c:v>
                </c:pt>
                <c:pt idx="130">
                  <c:v>563.09</c:v>
                </c:pt>
                <c:pt idx="131">
                  <c:v>-424.495</c:v>
                </c:pt>
                <c:pt idx="132">
                  <c:v>182.24</c:v>
                </c:pt>
                <c:pt idx="133">
                  <c:v>121.843</c:v>
                </c:pt>
                <c:pt idx="134">
                  <c:v>-560.627</c:v>
                </c:pt>
                <c:pt idx="135">
                  <c:v>-233.041999999999</c:v>
                </c:pt>
                <c:pt idx="136">
                  <c:v>-331.492</c:v>
                </c:pt>
                <c:pt idx="137">
                  <c:v>24.6360000000004</c:v>
                </c:pt>
                <c:pt idx="138">
                  <c:v>-335.892</c:v>
                </c:pt>
                <c:pt idx="139">
                  <c:v>130.212</c:v>
                </c:pt>
                <c:pt idx="140">
                  <c:v>175.05</c:v>
                </c:pt>
                <c:pt idx="141">
                  <c:v>-86.0119999999997</c:v>
                </c:pt>
                <c:pt idx="142">
                  <c:v>32.1990000000001</c:v>
                </c:pt>
                <c:pt idx="143">
                  <c:v>-13.2139999999999</c:v>
                </c:pt>
                <c:pt idx="144">
                  <c:v>18.7280000000001</c:v>
                </c:pt>
                <c:pt idx="145">
                  <c:v>-7.58499999999998</c:v>
                </c:pt>
                <c:pt idx="146">
                  <c:v>56.7809999999999</c:v>
                </c:pt>
                <c:pt idx="147">
                  <c:v>-27.596</c:v>
                </c:pt>
                <c:pt idx="148">
                  <c:v>23.2619999999999</c:v>
                </c:pt>
                <c:pt idx="149">
                  <c:v>156.744</c:v>
                </c:pt>
                <c:pt idx="150">
                  <c:v>186.561</c:v>
                </c:pt>
                <c:pt idx="151">
                  <c:v>0.197000000000116</c:v>
                </c:pt>
                <c:pt idx="152">
                  <c:v>-107.175</c:v>
                </c:pt>
                <c:pt idx="153">
                  <c:v>436.247</c:v>
                </c:pt>
                <c:pt idx="154">
                  <c:v>116.605</c:v>
                </c:pt>
                <c:pt idx="155">
                  <c:v>-402.867</c:v>
                </c:pt>
                <c:pt idx="156">
                  <c:v>-55.0220000000008</c:v>
                </c:pt>
                <c:pt idx="157">
                  <c:v>-235.365</c:v>
                </c:pt>
                <c:pt idx="158">
                  <c:v>903.709</c:v>
                </c:pt>
                <c:pt idx="159">
                  <c:v>35.6690000000001</c:v>
                </c:pt>
                <c:pt idx="160">
                  <c:v>335.458</c:v>
                </c:pt>
                <c:pt idx="161">
                  <c:v>-34.4660000000003</c:v>
                </c:pt>
                <c:pt idx="162">
                  <c:v>-444.834</c:v>
                </c:pt>
                <c:pt idx="163">
                  <c:v>108.343999999999</c:v>
                </c:pt>
                <c:pt idx="164">
                  <c:v>-344.103999999999</c:v>
                </c:pt>
                <c:pt idx="165">
                  <c:v>-217.005999999999</c:v>
                </c:pt>
                <c:pt idx="166">
                  <c:v>-26.9760000000001</c:v>
                </c:pt>
                <c:pt idx="167">
                  <c:v>472.404</c:v>
                </c:pt>
                <c:pt idx="168">
                  <c:v>318.537</c:v>
                </c:pt>
                <c:pt idx="169">
                  <c:v>-9.66300000000001</c:v>
                </c:pt>
                <c:pt idx="170">
                  <c:v>-5.30200000000013</c:v>
                </c:pt>
                <c:pt idx="171">
                  <c:v>-5.27500000000009</c:v>
                </c:pt>
                <c:pt idx="172">
                  <c:v>4.67099999999982</c:v>
                </c:pt>
                <c:pt idx="173">
                  <c:v>6.07600000000002</c:v>
                </c:pt>
                <c:pt idx="174">
                  <c:v>25.932</c:v>
                </c:pt>
                <c:pt idx="175">
                  <c:v>-3.44500000000005</c:v>
                </c:pt>
                <c:pt idx="176">
                  <c:v>-25.657</c:v>
                </c:pt>
              </c:numCache>
            </c:numRef>
          </c:yVal>
          <c:smooth val="1"/>
        </c:ser>
        <c:ser>
          <c:idx val="9"/>
          <c:order val="9"/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 cmpd="sng" algn="ctr">
                <a:solidFill>
                  <a:sysClr val="windowText" lastClr="000000"/>
                </a:solidFill>
                <a:prstDash val="dash"/>
                <a:round/>
              </a:ln>
            </c:spPr>
          </c:dPt>
          <c:dLbls>
            <c:delete val="1"/>
          </c:dLbls>
          <c:xVal>
            <c:numRef>
              <c:f>Sheet4!$O$178:$O$179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Sheet4!$P$178:$P$179</c:f>
              <c:numCache>
                <c:formatCode>General</c:formatCode>
                <c:ptCount val="2"/>
                <c:pt idx="0">
                  <c:v>-4000</c:v>
                </c:pt>
                <c:pt idx="1">
                  <c:v>4000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76544"/>
        <c:axId val="167703296"/>
      </c:scatterChart>
      <c:valAx>
        <c:axId val="167676544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  <a:r>
                  <a:rPr lang="en-US" baseline="0"/>
                  <a:t> set Number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7703296"/>
        <c:crosses val="autoZero"/>
        <c:crossBetween val="midCat"/>
        <c:majorUnit val="20"/>
      </c:valAx>
      <c:valAx>
        <c:axId val="167703296"/>
        <c:scaling>
          <c:orientation val="minMax"/>
          <c:max val="4000"/>
          <c:min val="-400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</a:t>
                </a:r>
                <a:r>
                  <a:rPr lang="en-US" baseline="0"/>
                  <a:t> error (KPa)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7676544"/>
        <c:crosses val="autoZero"/>
        <c:crossBetween val="midCat"/>
        <c:majorUnit val="1000"/>
      </c:valAx>
      <c:spPr>
        <a:ln>
          <a:solidFill>
            <a:sysClr val="windowText" lastClr="000000"/>
          </a:solidFill>
        </a:ln>
      </c:spPr>
    </c:plotArea>
    <c:legend>
      <c:legendPos val="r"/>
      <c:legendEntry>
        <c:idx val="9"/>
        <c:delete val="1"/>
      </c:legendEntry>
      <c:layout>
        <c:manualLayout>
          <c:xMode val="edge"/>
          <c:yMode val="edge"/>
          <c:x val="0.119048844729207"/>
          <c:y val="0.0445687518226889"/>
          <c:w val="0.477500242170959"/>
          <c:h val="0.24882509477981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0.xml"/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6.xml"/><Relationship Id="rId8" Type="http://schemas.openxmlformats.org/officeDocument/2006/relationships/chart" Target="../charts/chart25.xml"/><Relationship Id="rId7" Type="http://schemas.openxmlformats.org/officeDocument/2006/relationships/chart" Target="../charts/chart24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5.xml"/><Relationship Id="rId8" Type="http://schemas.openxmlformats.org/officeDocument/2006/relationships/chart" Target="../charts/chart34.xml"/><Relationship Id="rId7" Type="http://schemas.openxmlformats.org/officeDocument/2006/relationships/chart" Target="../charts/chart33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44.xml"/><Relationship Id="rId8" Type="http://schemas.openxmlformats.org/officeDocument/2006/relationships/chart" Target="../charts/chart43.xml"/><Relationship Id="rId7" Type="http://schemas.openxmlformats.org/officeDocument/2006/relationships/chart" Target="../charts/chart42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0" Type="http://schemas.openxmlformats.org/officeDocument/2006/relationships/chart" Target="../charts/chart45.xml"/><Relationship Id="rId1" Type="http://schemas.openxmlformats.org/officeDocument/2006/relationships/chart" Target="../charts/chart36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228600</xdr:colOff>
      <xdr:row>140</xdr:row>
      <xdr:rowOff>99695</xdr:rowOff>
    </xdr:from>
    <xdr:to>
      <xdr:col>13</xdr:col>
      <xdr:colOff>99060</xdr:colOff>
      <xdr:row>155</xdr:row>
      <xdr:rowOff>152400</xdr:rowOff>
    </xdr:to>
    <xdr:graphicFrame>
      <xdr:nvGraphicFramePr>
        <xdr:cNvPr id="2" name="Chart 1"/>
        <xdr:cNvGraphicFramePr/>
      </xdr:nvGraphicFramePr>
      <xdr:xfrm>
        <a:off x="3931920" y="25712420"/>
        <a:ext cx="4191000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0.750483838550247</cdr:x>
      <cdr:y>0.648824971098266</cdr:y>
    </cdr:from>
    <cdr:to>
      <cdr:x>0.908813838550247</cdr:x>
      <cdr:y>0.735624971098266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471243" y="1710640"/>
          <a:ext cx="732330" cy="2288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>
      <xdr:nvGraphicFramePr>
        <xdr:cNvPr id="2" name="Chart 1-XLSTAT"/>
        <xdr:cNvGraphicFramePr/>
      </xdr:nvGraphicFramePr>
      <xdr:xfrm>
        <a:off x="342900" y="3920490"/>
        <a:ext cx="40665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127000</xdr:colOff>
      <xdr:row>21</xdr:row>
      <xdr:rowOff>0</xdr:rowOff>
    </xdr:from>
    <xdr:to>
      <xdr:col>10</xdr:col>
      <xdr:colOff>736600</xdr:colOff>
      <xdr:row>38</xdr:row>
      <xdr:rowOff>0</xdr:rowOff>
    </xdr:to>
    <xdr:graphicFrame>
      <xdr:nvGraphicFramePr>
        <xdr:cNvPr id="3" name="Chart 2-XLSTAT"/>
        <xdr:cNvGraphicFramePr/>
      </xdr:nvGraphicFramePr>
      <xdr:xfrm>
        <a:off x="4536440" y="3920490"/>
        <a:ext cx="40589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25400</xdr:colOff>
      <xdr:row>21</xdr:row>
      <xdr:rowOff>0</xdr:rowOff>
    </xdr:from>
    <xdr:to>
      <xdr:col>17</xdr:col>
      <xdr:colOff>330200</xdr:colOff>
      <xdr:row>38</xdr:row>
      <xdr:rowOff>0</xdr:rowOff>
    </xdr:to>
    <xdr:graphicFrame>
      <xdr:nvGraphicFramePr>
        <xdr:cNvPr id="4" name="Chart 3-XLSTAT"/>
        <xdr:cNvGraphicFramePr/>
      </xdr:nvGraphicFramePr>
      <xdr:xfrm>
        <a:off x="8746490" y="3920490"/>
        <a:ext cx="40081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457200</xdr:colOff>
      <xdr:row>21</xdr:row>
      <xdr:rowOff>0</xdr:rowOff>
    </xdr:from>
    <xdr:to>
      <xdr:col>24</xdr:col>
      <xdr:colOff>152400</xdr:colOff>
      <xdr:row>38</xdr:row>
      <xdr:rowOff>0</xdr:rowOff>
    </xdr:to>
    <xdr:graphicFrame>
      <xdr:nvGraphicFramePr>
        <xdr:cNvPr id="5" name="Chart 4-XLSTAT"/>
        <xdr:cNvGraphicFramePr/>
      </xdr:nvGraphicFramePr>
      <xdr:xfrm>
        <a:off x="12881610" y="3920490"/>
        <a:ext cx="40157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279400</xdr:colOff>
      <xdr:row>21</xdr:row>
      <xdr:rowOff>0</xdr:rowOff>
    </xdr:from>
    <xdr:to>
      <xdr:col>30</xdr:col>
      <xdr:colOff>584200</xdr:colOff>
      <xdr:row>38</xdr:row>
      <xdr:rowOff>0</xdr:rowOff>
    </xdr:to>
    <xdr:graphicFrame>
      <xdr:nvGraphicFramePr>
        <xdr:cNvPr id="6" name="Chart 5-XLSTAT"/>
        <xdr:cNvGraphicFramePr/>
      </xdr:nvGraphicFramePr>
      <xdr:xfrm>
        <a:off x="17024350" y="3920490"/>
        <a:ext cx="40081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101600</xdr:colOff>
      <xdr:row>21</xdr:row>
      <xdr:rowOff>0</xdr:rowOff>
    </xdr:from>
    <xdr:to>
      <xdr:col>37</xdr:col>
      <xdr:colOff>406400</xdr:colOff>
      <xdr:row>38</xdr:row>
      <xdr:rowOff>0</xdr:rowOff>
    </xdr:to>
    <xdr:graphicFrame>
      <xdr:nvGraphicFramePr>
        <xdr:cNvPr id="7" name="Chart 6-XLSTAT"/>
        <xdr:cNvGraphicFramePr/>
      </xdr:nvGraphicFramePr>
      <xdr:xfrm>
        <a:off x="21167090" y="3920490"/>
        <a:ext cx="40081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533400</xdr:colOff>
      <xdr:row>21</xdr:row>
      <xdr:rowOff>0</xdr:rowOff>
    </xdr:from>
    <xdr:to>
      <xdr:col>44</xdr:col>
      <xdr:colOff>228600</xdr:colOff>
      <xdr:row>38</xdr:row>
      <xdr:rowOff>0</xdr:rowOff>
    </xdr:to>
    <xdr:graphicFrame>
      <xdr:nvGraphicFramePr>
        <xdr:cNvPr id="8" name="Chart 7-XLSTAT"/>
        <xdr:cNvGraphicFramePr/>
      </xdr:nvGraphicFramePr>
      <xdr:xfrm>
        <a:off x="25302210" y="3920490"/>
        <a:ext cx="40157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355600</xdr:colOff>
      <xdr:row>21</xdr:row>
      <xdr:rowOff>0</xdr:rowOff>
    </xdr:from>
    <xdr:to>
      <xdr:col>51</xdr:col>
      <xdr:colOff>50800</xdr:colOff>
      <xdr:row>38</xdr:row>
      <xdr:rowOff>0</xdr:rowOff>
    </xdr:to>
    <xdr:graphicFrame>
      <xdr:nvGraphicFramePr>
        <xdr:cNvPr id="9" name="Chart 8-XLSTAT"/>
        <xdr:cNvGraphicFramePr/>
      </xdr:nvGraphicFramePr>
      <xdr:xfrm>
        <a:off x="29444950" y="3920490"/>
        <a:ext cx="40157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177800</xdr:colOff>
      <xdr:row>21</xdr:row>
      <xdr:rowOff>0</xdr:rowOff>
    </xdr:from>
    <xdr:to>
      <xdr:col>57</xdr:col>
      <xdr:colOff>482600</xdr:colOff>
      <xdr:row>38</xdr:row>
      <xdr:rowOff>0</xdr:rowOff>
    </xdr:to>
    <xdr:graphicFrame>
      <xdr:nvGraphicFramePr>
        <xdr:cNvPr id="10" name="Chart 9-XLSTAT"/>
        <xdr:cNvGraphicFramePr/>
      </xdr:nvGraphicFramePr>
      <xdr:xfrm>
        <a:off x="33587690" y="3920490"/>
        <a:ext cx="40081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185</xdr:row>
      <xdr:rowOff>0</xdr:rowOff>
    </xdr:from>
    <xdr:to>
      <xdr:col>7</xdr:col>
      <xdr:colOff>0</xdr:colOff>
      <xdr:row>202</xdr:row>
      <xdr:rowOff>0</xdr:rowOff>
    </xdr:to>
    <xdr:graphicFrame>
      <xdr:nvGraphicFramePr>
        <xdr:cNvPr id="2" name="Chart 1-XLSTAT"/>
        <xdr:cNvGraphicFramePr/>
      </xdr:nvGraphicFramePr>
      <xdr:xfrm>
        <a:off x="342900" y="33928050"/>
        <a:ext cx="4134485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185</xdr:row>
      <xdr:rowOff>0</xdr:rowOff>
    </xdr:from>
    <xdr:to>
      <xdr:col>13</xdr:col>
      <xdr:colOff>260350</xdr:colOff>
      <xdr:row>202</xdr:row>
      <xdr:rowOff>0</xdr:rowOff>
    </xdr:to>
    <xdr:graphicFrame>
      <xdr:nvGraphicFramePr>
        <xdr:cNvPr id="3" name="Chart 2-XLSTAT"/>
        <xdr:cNvGraphicFramePr/>
      </xdr:nvGraphicFramePr>
      <xdr:xfrm>
        <a:off x="4604385" y="33928050"/>
        <a:ext cx="4140835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</xdr:colOff>
      <xdr:row>86</xdr:row>
      <xdr:rowOff>0</xdr:rowOff>
    </xdr:from>
    <xdr:to>
      <xdr:col>6</xdr:col>
      <xdr:colOff>1</xdr:colOff>
      <xdr:row>103</xdr:row>
      <xdr:rowOff>0</xdr:rowOff>
    </xdr:to>
    <xdr:graphicFrame>
      <xdr:nvGraphicFramePr>
        <xdr:cNvPr id="2" name="Chart 1-XLSTAT"/>
        <xdr:cNvGraphicFramePr/>
      </xdr:nvGraphicFramePr>
      <xdr:xfrm>
        <a:off x="342900" y="15861030"/>
        <a:ext cx="428117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230</xdr:row>
      <xdr:rowOff>0</xdr:rowOff>
    </xdr:from>
    <xdr:to>
      <xdr:col>6</xdr:col>
      <xdr:colOff>0</xdr:colOff>
      <xdr:row>247</xdr:row>
      <xdr:rowOff>0</xdr:rowOff>
    </xdr:to>
    <xdr:graphicFrame>
      <xdr:nvGraphicFramePr>
        <xdr:cNvPr id="3" name="Chart 2-XLSTAT"/>
        <xdr:cNvGraphicFramePr/>
      </xdr:nvGraphicFramePr>
      <xdr:xfrm>
        <a:off x="342900" y="42214800"/>
        <a:ext cx="428117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127000</xdr:colOff>
      <xdr:row>230</xdr:row>
      <xdr:rowOff>0</xdr:rowOff>
    </xdr:from>
    <xdr:to>
      <xdr:col>12</xdr:col>
      <xdr:colOff>231775</xdr:colOff>
      <xdr:row>247</xdr:row>
      <xdr:rowOff>0</xdr:rowOff>
    </xdr:to>
    <xdr:graphicFrame>
      <xdr:nvGraphicFramePr>
        <xdr:cNvPr id="4" name="Chart 3-XLSTAT"/>
        <xdr:cNvGraphicFramePr/>
      </xdr:nvGraphicFramePr>
      <xdr:xfrm>
        <a:off x="4751070" y="42214800"/>
        <a:ext cx="428879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358775</xdr:colOff>
      <xdr:row>230</xdr:row>
      <xdr:rowOff>0</xdr:rowOff>
    </xdr:from>
    <xdr:to>
      <xdr:col>19</xdr:col>
      <xdr:colOff>92075</xdr:colOff>
      <xdr:row>247</xdr:row>
      <xdr:rowOff>0</xdr:rowOff>
    </xdr:to>
    <xdr:graphicFrame>
      <xdr:nvGraphicFramePr>
        <xdr:cNvPr id="5" name="Chart 4-XLSTAT"/>
        <xdr:cNvGraphicFramePr/>
      </xdr:nvGraphicFramePr>
      <xdr:xfrm>
        <a:off x="9166860" y="42214800"/>
        <a:ext cx="4250055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219075</xdr:colOff>
      <xdr:row>230</xdr:row>
      <xdr:rowOff>0</xdr:rowOff>
    </xdr:from>
    <xdr:to>
      <xdr:col>26</xdr:col>
      <xdr:colOff>123825</xdr:colOff>
      <xdr:row>247</xdr:row>
      <xdr:rowOff>0</xdr:rowOff>
    </xdr:to>
    <xdr:graphicFrame>
      <xdr:nvGraphicFramePr>
        <xdr:cNvPr id="6" name="Chart 5-XLSTAT"/>
        <xdr:cNvGraphicFramePr/>
      </xdr:nvGraphicFramePr>
      <xdr:xfrm>
        <a:off x="13543915" y="42214800"/>
        <a:ext cx="422529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>
      <xdr:nvGraphicFramePr>
        <xdr:cNvPr id="2" name="Chart 1-XLSTAT"/>
        <xdr:cNvGraphicFramePr/>
      </xdr:nvGraphicFramePr>
      <xdr:xfrm>
        <a:off x="342900" y="3850005"/>
        <a:ext cx="4144645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127000</xdr:colOff>
      <xdr:row>21</xdr:row>
      <xdr:rowOff>0</xdr:rowOff>
    </xdr:from>
    <xdr:to>
      <xdr:col>10</xdr:col>
      <xdr:colOff>660400</xdr:colOff>
      <xdr:row>38</xdr:row>
      <xdr:rowOff>0</xdr:rowOff>
    </xdr:to>
    <xdr:graphicFrame>
      <xdr:nvGraphicFramePr>
        <xdr:cNvPr id="3" name="Chart 2-XLSTAT"/>
        <xdr:cNvGraphicFramePr/>
      </xdr:nvGraphicFramePr>
      <xdr:xfrm>
        <a:off x="4614545" y="3850005"/>
        <a:ext cx="413893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787400</xdr:colOff>
      <xdr:row>21</xdr:row>
      <xdr:rowOff>0</xdr:rowOff>
    </xdr:from>
    <xdr:to>
      <xdr:col>17</xdr:col>
      <xdr:colOff>254000</xdr:colOff>
      <xdr:row>38</xdr:row>
      <xdr:rowOff>0</xdr:rowOff>
    </xdr:to>
    <xdr:graphicFrame>
      <xdr:nvGraphicFramePr>
        <xdr:cNvPr id="4" name="Chart 3-XLSTAT"/>
        <xdr:cNvGraphicFramePr/>
      </xdr:nvGraphicFramePr>
      <xdr:xfrm>
        <a:off x="8880475" y="3850005"/>
        <a:ext cx="4110355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381000</xdr:colOff>
      <xdr:row>21</xdr:row>
      <xdr:rowOff>0</xdr:rowOff>
    </xdr:from>
    <xdr:to>
      <xdr:col>24</xdr:col>
      <xdr:colOff>152400</xdr:colOff>
      <xdr:row>38</xdr:row>
      <xdr:rowOff>0</xdr:rowOff>
    </xdr:to>
    <xdr:graphicFrame>
      <xdr:nvGraphicFramePr>
        <xdr:cNvPr id="5" name="Chart 4-XLSTAT"/>
        <xdr:cNvGraphicFramePr/>
      </xdr:nvGraphicFramePr>
      <xdr:xfrm>
        <a:off x="13117830" y="3850005"/>
        <a:ext cx="40919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279400</xdr:colOff>
      <xdr:row>21</xdr:row>
      <xdr:rowOff>0</xdr:rowOff>
    </xdr:from>
    <xdr:to>
      <xdr:col>31</xdr:col>
      <xdr:colOff>50800</xdr:colOff>
      <xdr:row>38</xdr:row>
      <xdr:rowOff>0</xdr:rowOff>
    </xdr:to>
    <xdr:graphicFrame>
      <xdr:nvGraphicFramePr>
        <xdr:cNvPr id="6" name="Chart 5-XLSTAT"/>
        <xdr:cNvGraphicFramePr/>
      </xdr:nvGraphicFramePr>
      <xdr:xfrm>
        <a:off x="17336770" y="3850005"/>
        <a:ext cx="40919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177800</xdr:colOff>
      <xdr:row>21</xdr:row>
      <xdr:rowOff>0</xdr:rowOff>
    </xdr:from>
    <xdr:to>
      <xdr:col>37</xdr:col>
      <xdr:colOff>558800</xdr:colOff>
      <xdr:row>38</xdr:row>
      <xdr:rowOff>0</xdr:rowOff>
    </xdr:to>
    <xdr:graphicFrame>
      <xdr:nvGraphicFramePr>
        <xdr:cNvPr id="7" name="Chart 6-XLSTAT"/>
        <xdr:cNvGraphicFramePr/>
      </xdr:nvGraphicFramePr>
      <xdr:xfrm>
        <a:off x="21555710" y="3850005"/>
        <a:ext cx="40843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76200</xdr:colOff>
      <xdr:row>21</xdr:row>
      <xdr:rowOff>0</xdr:rowOff>
    </xdr:from>
    <xdr:to>
      <xdr:col>44</xdr:col>
      <xdr:colOff>457200</xdr:colOff>
      <xdr:row>38</xdr:row>
      <xdr:rowOff>0</xdr:rowOff>
    </xdr:to>
    <xdr:graphicFrame>
      <xdr:nvGraphicFramePr>
        <xdr:cNvPr id="8" name="Chart 7-XLSTAT"/>
        <xdr:cNvGraphicFramePr/>
      </xdr:nvGraphicFramePr>
      <xdr:xfrm>
        <a:off x="25774650" y="3850005"/>
        <a:ext cx="408432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584200</xdr:colOff>
      <xdr:row>21</xdr:row>
      <xdr:rowOff>0</xdr:rowOff>
    </xdr:from>
    <xdr:to>
      <xdr:col>51</xdr:col>
      <xdr:colOff>355600</xdr:colOff>
      <xdr:row>38</xdr:row>
      <xdr:rowOff>0</xdr:rowOff>
    </xdr:to>
    <xdr:graphicFrame>
      <xdr:nvGraphicFramePr>
        <xdr:cNvPr id="9" name="Chart 8-XLSTAT"/>
        <xdr:cNvGraphicFramePr/>
      </xdr:nvGraphicFramePr>
      <xdr:xfrm>
        <a:off x="29985970" y="3850005"/>
        <a:ext cx="40919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482600</xdr:colOff>
      <xdr:row>21</xdr:row>
      <xdr:rowOff>0</xdr:rowOff>
    </xdr:from>
    <xdr:to>
      <xdr:col>58</xdr:col>
      <xdr:colOff>254000</xdr:colOff>
      <xdr:row>38</xdr:row>
      <xdr:rowOff>0</xdr:rowOff>
    </xdr:to>
    <xdr:graphicFrame>
      <xdr:nvGraphicFramePr>
        <xdr:cNvPr id="10" name="Chart 9-XLSTAT"/>
        <xdr:cNvGraphicFramePr/>
      </xdr:nvGraphicFramePr>
      <xdr:xfrm>
        <a:off x="34204910" y="3850005"/>
        <a:ext cx="40919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480060</xdr:colOff>
      <xdr:row>0</xdr:row>
      <xdr:rowOff>84455</xdr:rowOff>
    </xdr:from>
    <xdr:to>
      <xdr:col>18</xdr:col>
      <xdr:colOff>167640</xdr:colOff>
      <xdr:row>14</xdr:row>
      <xdr:rowOff>160655</xdr:rowOff>
    </xdr:to>
    <xdr:graphicFrame>
      <xdr:nvGraphicFramePr>
        <xdr:cNvPr id="3" name="Chart 2"/>
        <xdr:cNvGraphicFramePr/>
      </xdr:nvGraphicFramePr>
      <xdr:xfrm>
        <a:off x="6652260" y="8445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84455</xdr:colOff>
      <xdr:row>0</xdr:row>
      <xdr:rowOff>76835</xdr:rowOff>
    </xdr:from>
    <xdr:to>
      <xdr:col>7</xdr:col>
      <xdr:colOff>389255</xdr:colOff>
      <xdr:row>14</xdr:row>
      <xdr:rowOff>153035</xdr:rowOff>
    </xdr:to>
    <xdr:graphicFrame>
      <xdr:nvGraphicFramePr>
        <xdr:cNvPr id="4" name="Chart 3"/>
        <xdr:cNvGraphicFramePr/>
      </xdr:nvGraphicFramePr>
      <xdr:xfrm>
        <a:off x="84455" y="7683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>
      <xdr:nvGraphicFramePr>
        <xdr:cNvPr id="5" name="Chart 4"/>
        <xdr:cNvGraphicFramePr/>
      </xdr:nvGraphicFramePr>
      <xdr:xfrm>
        <a:off x="0" y="310896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18</xdr:col>
      <xdr:colOff>304800</xdr:colOff>
      <xdr:row>30</xdr:row>
      <xdr:rowOff>76200</xdr:rowOff>
    </xdr:to>
    <xdr:graphicFrame>
      <xdr:nvGraphicFramePr>
        <xdr:cNvPr id="6" name="Chart 5"/>
        <xdr:cNvGraphicFramePr/>
      </xdr:nvGraphicFramePr>
      <xdr:xfrm>
        <a:off x="6789420" y="292608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130175</xdr:colOff>
      <xdr:row>32</xdr:row>
      <xdr:rowOff>167640</xdr:rowOff>
    </xdr:from>
    <xdr:to>
      <xdr:col>7</xdr:col>
      <xdr:colOff>434975</xdr:colOff>
      <xdr:row>47</xdr:row>
      <xdr:rowOff>60960</xdr:rowOff>
    </xdr:to>
    <xdr:graphicFrame>
      <xdr:nvGraphicFramePr>
        <xdr:cNvPr id="7" name="Chart 6"/>
        <xdr:cNvGraphicFramePr/>
      </xdr:nvGraphicFramePr>
      <xdr:xfrm>
        <a:off x="130175" y="601980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304800</xdr:colOff>
      <xdr:row>46</xdr:row>
      <xdr:rowOff>76200</xdr:rowOff>
    </xdr:to>
    <xdr:graphicFrame>
      <xdr:nvGraphicFramePr>
        <xdr:cNvPr id="8" name="Chart 7"/>
        <xdr:cNvGraphicFramePr/>
      </xdr:nvGraphicFramePr>
      <xdr:xfrm>
        <a:off x="6789420" y="585216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145415</xdr:colOff>
      <xdr:row>48</xdr:row>
      <xdr:rowOff>38100</xdr:rowOff>
    </xdr:from>
    <xdr:to>
      <xdr:col>7</xdr:col>
      <xdr:colOff>450215</xdr:colOff>
      <xdr:row>62</xdr:row>
      <xdr:rowOff>114300</xdr:rowOff>
    </xdr:to>
    <xdr:graphicFrame>
      <xdr:nvGraphicFramePr>
        <xdr:cNvPr id="9" name="Chart 8"/>
        <xdr:cNvGraphicFramePr/>
      </xdr:nvGraphicFramePr>
      <xdr:xfrm>
        <a:off x="145415" y="881634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594360</xdr:colOff>
      <xdr:row>47</xdr:row>
      <xdr:rowOff>114300</xdr:rowOff>
    </xdr:from>
    <xdr:to>
      <xdr:col>18</xdr:col>
      <xdr:colOff>281940</xdr:colOff>
      <xdr:row>62</xdr:row>
      <xdr:rowOff>7620</xdr:rowOff>
    </xdr:to>
    <xdr:graphicFrame>
      <xdr:nvGraphicFramePr>
        <xdr:cNvPr id="10" name="Chart 9"/>
        <xdr:cNvGraphicFramePr/>
      </xdr:nvGraphicFramePr>
      <xdr:xfrm>
        <a:off x="6766560" y="870966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7</xdr:col>
      <xdr:colOff>304800</xdr:colOff>
      <xdr:row>80</xdr:row>
      <xdr:rowOff>76200</xdr:rowOff>
    </xdr:to>
    <xdr:graphicFrame>
      <xdr:nvGraphicFramePr>
        <xdr:cNvPr id="11" name="Chart 10"/>
        <xdr:cNvGraphicFramePr/>
      </xdr:nvGraphicFramePr>
      <xdr:xfrm>
        <a:off x="0" y="1207008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0.63125</cdr:x>
      <cdr:y>0.03472</cdr:y>
    </cdr:from>
    <cdr:to>
      <cdr:x>0.78958</cdr:x>
      <cdr:y>0.12152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86090" y="95253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0.68959</cdr:x>
      <cdr:y>0.04514</cdr:y>
    </cdr:from>
    <cdr:to>
      <cdr:x>0.84792</cdr:x>
      <cdr:y>0.13194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152790" y="123828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0.640500510778525</cdr:x>
      <cdr:y>0.0659320809248555</cdr:y>
    </cdr:from>
    <cdr:to>
      <cdr:x>0.798830510778525</cdr:x>
      <cdr:y>0.152732080924855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962126" y="173831"/>
          <a:ext cx="732230" cy="2288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0.68959</cdr:x>
      <cdr:y>0.04861</cdr:y>
    </cdr:from>
    <cdr:to>
      <cdr:x>0.84792</cdr:x>
      <cdr:y>0.13541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152790" y="133353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0.71459</cdr:x>
      <cdr:y>0.05556</cdr:y>
    </cdr:from>
    <cdr:to>
      <cdr:x>0.87292</cdr:x>
      <cdr:y>0.14236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267090" y="152403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0.73125</cdr:x>
      <cdr:y>0.05208</cdr:y>
    </cdr:from>
    <cdr:to>
      <cdr:x>0.88958</cdr:x>
      <cdr:y>0.13888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343290" y="142878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0.68959</cdr:x>
      <cdr:y>0.04861</cdr:y>
    </cdr:from>
    <cdr:to>
      <cdr:x>0.84792</cdr:x>
      <cdr:y>0.13541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152790" y="133353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0.69792</cdr:x>
      <cdr:y>0.03125</cdr:y>
    </cdr:from>
    <cdr:to>
      <cdr:x>0.85625</cdr:x>
      <cdr:y>0.11805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190890" y="85728"/>
          <a:ext cx="723885" cy="23811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0.734001456817246</cdr:x>
      <cdr:y>0.654605317919075</cdr:y>
    </cdr:from>
    <cdr:to>
      <cdr:x>0.892331456817246</cdr:x>
      <cdr:y>0.741405317919075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394540" y="1725880"/>
          <a:ext cx="732230" cy="2288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107315</xdr:colOff>
      <xdr:row>1</xdr:row>
      <xdr:rowOff>8255</xdr:rowOff>
    </xdr:from>
    <xdr:to>
      <xdr:col>7</xdr:col>
      <xdr:colOff>412115</xdr:colOff>
      <xdr:row>15</xdr:row>
      <xdr:rowOff>84455</xdr:rowOff>
    </xdr:to>
    <xdr:graphicFrame>
      <xdr:nvGraphicFramePr>
        <xdr:cNvPr id="2" name="Chart 1"/>
        <xdr:cNvGraphicFramePr/>
      </xdr:nvGraphicFramePr>
      <xdr:xfrm>
        <a:off x="107315" y="19113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586740</xdr:colOff>
      <xdr:row>0</xdr:row>
      <xdr:rowOff>130175</xdr:rowOff>
    </xdr:from>
    <xdr:to>
      <xdr:col>17</xdr:col>
      <xdr:colOff>274320</xdr:colOff>
      <xdr:row>15</xdr:row>
      <xdr:rowOff>23495</xdr:rowOff>
    </xdr:to>
    <xdr:graphicFrame>
      <xdr:nvGraphicFramePr>
        <xdr:cNvPr id="3" name="Chart 2"/>
        <xdr:cNvGraphicFramePr/>
      </xdr:nvGraphicFramePr>
      <xdr:xfrm>
        <a:off x="6141720" y="13017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>
      <xdr:nvGraphicFramePr>
        <xdr:cNvPr id="4" name="Chart 3"/>
        <xdr:cNvGraphicFramePr/>
      </xdr:nvGraphicFramePr>
      <xdr:xfrm>
        <a:off x="0" y="310896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17</xdr:col>
      <xdr:colOff>304800</xdr:colOff>
      <xdr:row>30</xdr:row>
      <xdr:rowOff>76200</xdr:rowOff>
    </xdr:to>
    <xdr:graphicFrame>
      <xdr:nvGraphicFramePr>
        <xdr:cNvPr id="5" name="Chart 4"/>
        <xdr:cNvGraphicFramePr/>
      </xdr:nvGraphicFramePr>
      <xdr:xfrm>
        <a:off x="6172200" y="292608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304800</xdr:colOff>
      <xdr:row>47</xdr:row>
      <xdr:rowOff>76200</xdr:rowOff>
    </xdr:to>
    <xdr:graphicFrame>
      <xdr:nvGraphicFramePr>
        <xdr:cNvPr id="6" name="Chart 5"/>
        <xdr:cNvGraphicFramePr/>
      </xdr:nvGraphicFramePr>
      <xdr:xfrm>
        <a:off x="0" y="603504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17</xdr:col>
      <xdr:colOff>304800</xdr:colOff>
      <xdr:row>46</xdr:row>
      <xdr:rowOff>76200</xdr:rowOff>
    </xdr:to>
    <xdr:graphicFrame>
      <xdr:nvGraphicFramePr>
        <xdr:cNvPr id="7" name="Chart 6"/>
        <xdr:cNvGraphicFramePr/>
      </xdr:nvGraphicFramePr>
      <xdr:xfrm>
        <a:off x="6172200" y="585216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7</xdr:col>
      <xdr:colOff>304800</xdr:colOff>
      <xdr:row>63</xdr:row>
      <xdr:rowOff>76200</xdr:rowOff>
    </xdr:to>
    <xdr:graphicFrame>
      <xdr:nvGraphicFramePr>
        <xdr:cNvPr id="8" name="Chart 7"/>
        <xdr:cNvGraphicFramePr/>
      </xdr:nvGraphicFramePr>
      <xdr:xfrm>
        <a:off x="0" y="896112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47</xdr:row>
      <xdr:rowOff>175260</xdr:rowOff>
    </xdr:from>
    <xdr:to>
      <xdr:col>17</xdr:col>
      <xdr:colOff>304800</xdr:colOff>
      <xdr:row>62</xdr:row>
      <xdr:rowOff>68580</xdr:rowOff>
    </xdr:to>
    <xdr:graphicFrame>
      <xdr:nvGraphicFramePr>
        <xdr:cNvPr id="9" name="Chart 8"/>
        <xdr:cNvGraphicFramePr/>
      </xdr:nvGraphicFramePr>
      <xdr:xfrm>
        <a:off x="6172200" y="877062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7</xdr:col>
      <xdr:colOff>304800</xdr:colOff>
      <xdr:row>80</xdr:row>
      <xdr:rowOff>76200</xdr:rowOff>
    </xdr:to>
    <xdr:graphicFrame>
      <xdr:nvGraphicFramePr>
        <xdr:cNvPr id="10" name="Chart 9"/>
        <xdr:cNvGraphicFramePr/>
      </xdr:nvGraphicFramePr>
      <xdr:xfrm>
        <a:off x="0" y="1207008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66</xdr:row>
      <xdr:rowOff>0</xdr:rowOff>
    </xdr:from>
    <xdr:to>
      <xdr:col>17</xdr:col>
      <xdr:colOff>304800</xdr:colOff>
      <xdr:row>80</xdr:row>
      <xdr:rowOff>76200</xdr:rowOff>
    </xdr:to>
    <xdr:graphicFrame>
      <xdr:nvGraphicFramePr>
        <xdr:cNvPr id="11" name="Chart 10"/>
        <xdr:cNvGraphicFramePr/>
      </xdr:nvGraphicFramePr>
      <xdr:xfrm>
        <a:off x="6172200" y="1207008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0.633392832623919</cdr:x>
      <cdr:y>0.0520356540592628</cdr:y>
    </cdr:from>
    <cdr:to>
      <cdr:x>0.77083619387615</cdr:x>
      <cdr:y>0.138761744158034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929255" y="137160"/>
          <a:ext cx="635635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0.63333</cdr:x>
      <cdr:y>0.05208</cdr:y>
    </cdr:from>
    <cdr:to>
      <cdr:x>0.83333</cdr:x>
      <cdr:y>0.13889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95600" y="142874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0.672936976520665</cdr:x>
      <cdr:y>0.0838150289017341</cdr:y>
    </cdr:from>
    <cdr:to>
      <cdr:x>0.800631607853906</cdr:x>
      <cdr:y>0.170520231213873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112135" y="220980"/>
          <a:ext cx="590550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0.633305875892367</cdr:x>
      <cdr:y>0.0520231213872832</cdr:y>
    </cdr:from>
    <cdr:to>
      <cdr:x>0.767572762218561</cdr:x>
      <cdr:y>0.138728323699422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929255" y="137160"/>
          <a:ext cx="621030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0.63333</cdr:x>
      <cdr:y>0.05208</cdr:y>
    </cdr:from>
    <cdr:to>
      <cdr:x>0.83333</cdr:x>
      <cdr:y>0.13889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95600" y="142874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0.63333</cdr:x>
      <cdr:y>0.05208</cdr:y>
    </cdr:from>
    <cdr:to>
      <cdr:x>0.83333</cdr:x>
      <cdr:y>0.13889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95600" y="142874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0.667993958533571</cdr:x>
      <cdr:y>0.0664739884393064</cdr:y>
    </cdr:from>
    <cdr:to>
      <cdr:x>0.810380337772896</cdr:x>
      <cdr:y>0.153179190751445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089275" y="175260"/>
          <a:ext cx="658495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0.63333</cdr:x>
      <cdr:y>0.05208</cdr:y>
    </cdr:from>
    <cdr:to>
      <cdr:x>0.83333</cdr:x>
      <cdr:y>0.13889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95600" y="142874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0.63333</cdr:x>
      <cdr:y>0.05208</cdr:y>
    </cdr:from>
    <cdr:to>
      <cdr:x>0.83333</cdr:x>
      <cdr:y>0.13889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95600" y="142874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0.63333</cdr:x>
      <cdr:y>0.05208</cdr:y>
    </cdr:from>
    <cdr:to>
      <cdr:x>0.83333</cdr:x>
      <cdr:y>0.13889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95600" y="142874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485774</xdr:colOff>
      <xdr:row>5</xdr:row>
      <xdr:rowOff>161925</xdr:rowOff>
    </xdr:from>
    <xdr:to>
      <xdr:col>16</xdr:col>
      <xdr:colOff>400049</xdr:colOff>
      <xdr:row>20</xdr:row>
      <xdr:rowOff>47625</xdr:rowOff>
    </xdr:to>
    <xdr:graphicFrame>
      <xdr:nvGraphicFramePr>
        <xdr:cNvPr id="3" name="Chart 2"/>
        <xdr:cNvGraphicFramePr/>
      </xdr:nvGraphicFramePr>
      <xdr:xfrm>
        <a:off x="4188460" y="1076325"/>
        <a:ext cx="608647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485775</xdr:colOff>
      <xdr:row>159</xdr:row>
      <xdr:rowOff>161925</xdr:rowOff>
    </xdr:from>
    <xdr:to>
      <xdr:col>24</xdr:col>
      <xdr:colOff>419100</xdr:colOff>
      <xdr:row>174</xdr:row>
      <xdr:rowOff>47625</xdr:rowOff>
    </xdr:to>
    <xdr:graphicFrame>
      <xdr:nvGraphicFramePr>
        <xdr:cNvPr id="4" name="Chart 3"/>
        <xdr:cNvGraphicFramePr/>
      </xdr:nvGraphicFramePr>
      <xdr:xfrm>
        <a:off x="9744075" y="29239845"/>
        <a:ext cx="548830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0.52773</cdr:x>
      <cdr:y>0.17361</cdr:y>
    </cdr:from>
    <cdr:to>
      <cdr:x>0.67987</cdr:x>
      <cdr:y>0.26736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171826" y="476250"/>
          <a:ext cx="914400" cy="25717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  <cdr:relSizeAnchor xmlns:cdr="http://schemas.openxmlformats.org/drawingml/2006/chartDrawing">
    <cdr:from>
      <cdr:x>0.86212</cdr:x>
      <cdr:y>0.17361</cdr:y>
    </cdr:from>
    <cdr:to>
      <cdr:x>0.98891</cdr:x>
      <cdr:y>0.26736</cdr:y>
    </cdr:to>
    <cdr:sp>
      <cdr:nvSpPr>
        <cdr:cNvPr id="3" name="Rectangles 2"/>
        <cdr:cNvSpPr/>
      </cdr:nvSpPr>
      <cdr:spPr xmlns:a="http://schemas.openxmlformats.org/drawingml/2006/main">
        <a:xfrm xmlns:a="http://schemas.openxmlformats.org/drawingml/2006/main">
          <a:off x="5181600" y="476250"/>
          <a:ext cx="761999" cy="25717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0.55009</cdr:x>
      <cdr:y>0.04514</cdr:y>
    </cdr:from>
    <cdr:to>
      <cdr:x>0.7188</cdr:x>
      <cdr:y>0.13194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981325" y="123825"/>
          <a:ext cx="914400" cy="2381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Training</a:t>
          </a:r>
          <a:endParaRPr lang="en-US" sz="1100"/>
        </a:p>
      </cdr:txBody>
    </cdr:sp>
  </cdr:relSizeAnchor>
  <cdr:relSizeAnchor xmlns:cdr="http://schemas.openxmlformats.org/drawingml/2006/chartDrawing">
    <cdr:from>
      <cdr:x>0.79789</cdr:x>
      <cdr:y>0.05208</cdr:y>
    </cdr:from>
    <cdr:to>
      <cdr:x>0.96661</cdr:x>
      <cdr:y>0.14931</cdr:y>
    </cdr:to>
    <cdr:sp>
      <cdr:nvSpPr>
        <cdr:cNvPr id="3" name="Rectangles 2"/>
        <cdr:cNvSpPr/>
      </cdr:nvSpPr>
      <cdr:spPr xmlns:a="http://schemas.openxmlformats.org/drawingml/2006/main">
        <a:xfrm xmlns:a="http://schemas.openxmlformats.org/drawingml/2006/main">
          <a:off x="4324350" y="142875"/>
          <a:ext cx="914400" cy="2667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/>
        <a:p>
          <a:r>
            <a:rPr lang="en-US" sz="1100"/>
            <a:t>Testing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59"/>
  <sheetViews>
    <sheetView tabSelected="1" workbookViewId="0">
      <selection activeCell="S150" sqref="S150"/>
    </sheetView>
  </sheetViews>
  <sheetFormatPr defaultColWidth="9" defaultRowHeight="14.4"/>
  <cols>
    <col min="22" max="23" width="9.28703703703704" customWidth="1"/>
    <col min="24" max="24" width="9.57407407407407" customWidth="1"/>
    <col min="25" max="25" width="10.1388888888889" customWidth="1"/>
    <col min="26" max="28" width="9.28703703703704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BA1" s="39"/>
      <c r="BB1" s="4" t="s">
        <v>0</v>
      </c>
      <c r="BC1" s="4" t="s">
        <v>1</v>
      </c>
      <c r="BD1" s="4" t="s">
        <v>2</v>
      </c>
      <c r="BE1" s="4" t="s">
        <v>3</v>
      </c>
      <c r="BF1" s="4" t="s">
        <v>4</v>
      </c>
      <c r="BG1" s="4" t="s">
        <v>5</v>
      </c>
      <c r="BH1" s="39"/>
    </row>
    <row r="2" spans="1:60">
      <c r="A2">
        <v>1</v>
      </c>
      <c r="B2">
        <v>9</v>
      </c>
      <c r="C2">
        <v>10</v>
      </c>
      <c r="D2">
        <v>15</v>
      </c>
      <c r="E2">
        <v>60</v>
      </c>
      <c r="F2">
        <v>2405</v>
      </c>
      <c r="G2">
        <v>3341.50128947756</v>
      </c>
      <c r="H2">
        <v>2543.92065185175</v>
      </c>
      <c r="I2">
        <v>3340.594</v>
      </c>
      <c r="J2">
        <v>2631.286</v>
      </c>
      <c r="K2">
        <v>2405</v>
      </c>
      <c r="L2">
        <v>3118</v>
      </c>
      <c r="M2">
        <v>2659.25</v>
      </c>
      <c r="N2">
        <v>2521.285</v>
      </c>
      <c r="P2">
        <f>ABS($F2-G2)</f>
        <v>936.501289477558</v>
      </c>
      <c r="Q2">
        <f t="shared" ref="Q2:W2" si="0">ABS($F2-H2)</f>
        <v>138.920651851745</v>
      </c>
      <c r="R2">
        <f t="shared" si="0"/>
        <v>935.594</v>
      </c>
      <c r="S2">
        <f t="shared" si="0"/>
        <v>226.286</v>
      </c>
      <c r="T2">
        <f t="shared" si="0"/>
        <v>0</v>
      </c>
      <c r="U2">
        <f t="shared" si="0"/>
        <v>713</v>
      </c>
      <c r="V2">
        <f t="shared" si="0"/>
        <v>254.25</v>
      </c>
      <c r="W2">
        <f t="shared" si="0"/>
        <v>116.285</v>
      </c>
      <c r="X2">
        <f>ABS(F2-4458.65)</f>
        <v>2053.65</v>
      </c>
      <c r="Y2">
        <f>($F2-G2)^2</f>
        <v>877034.665193128</v>
      </c>
      <c r="Z2">
        <f t="shared" ref="Z2:AF2" si="1">($F2-H2)^2</f>
        <v>19298.9475109138</v>
      </c>
      <c r="AA2">
        <f t="shared" si="1"/>
        <v>875336.132836</v>
      </c>
      <c r="AB2">
        <f t="shared" si="1"/>
        <v>51205.353796</v>
      </c>
      <c r="AC2">
        <f t="shared" si="1"/>
        <v>0</v>
      </c>
      <c r="AD2">
        <f t="shared" si="1"/>
        <v>508369</v>
      </c>
      <c r="AE2">
        <f t="shared" si="1"/>
        <v>64643.0625</v>
      </c>
      <c r="AF2">
        <f t="shared" si="1"/>
        <v>13522.201225</v>
      </c>
      <c r="AG2">
        <f t="shared" ref="AG2:AG65" si="2">(F2-4458.65)^2</f>
        <v>4217478.3225</v>
      </c>
      <c r="AI2">
        <f>(ABS(G2-4458.65)+ABS($F2-4458.65))^2</f>
        <v>10053964.4626508</v>
      </c>
      <c r="AJ2">
        <f t="shared" ref="AJ2:AP2" si="3">(ABS(H2-4458.65)+ABS($F2-4458.65))^2</f>
        <v>15748034.6508096</v>
      </c>
      <c r="AK2">
        <f t="shared" si="3"/>
        <v>10059718.950436</v>
      </c>
      <c r="AL2">
        <f t="shared" si="3"/>
        <v>15062269.668196</v>
      </c>
      <c r="AM2">
        <f t="shared" si="3"/>
        <v>16869913.29</v>
      </c>
      <c r="AN2">
        <f t="shared" si="3"/>
        <v>11521272.49</v>
      </c>
      <c r="AO2">
        <f t="shared" si="3"/>
        <v>14845994.3025</v>
      </c>
      <c r="AP2">
        <f t="shared" si="3"/>
        <v>15928200.730225</v>
      </c>
      <c r="BA2" s="50" t="s">
        <v>14</v>
      </c>
      <c r="BB2" s="5">
        <v>1</v>
      </c>
      <c r="BC2" s="5">
        <v>9</v>
      </c>
      <c r="BD2" s="5">
        <v>5</v>
      </c>
      <c r="BE2" s="5">
        <v>15</v>
      </c>
      <c r="BF2" s="5">
        <v>60</v>
      </c>
      <c r="BG2" s="5">
        <v>450</v>
      </c>
      <c r="BH2" s="39" t="s">
        <v>15</v>
      </c>
    </row>
    <row r="3" spans="1:60">
      <c r="A3">
        <v>1</v>
      </c>
      <c r="B3">
        <v>9</v>
      </c>
      <c r="C3">
        <v>15</v>
      </c>
      <c r="D3">
        <v>15</v>
      </c>
      <c r="E3">
        <v>60</v>
      </c>
      <c r="F3">
        <v>3201</v>
      </c>
      <c r="G3">
        <v>3521.42898378559</v>
      </c>
      <c r="H3">
        <v>2958.4365695964</v>
      </c>
      <c r="I3">
        <v>3489.224</v>
      </c>
      <c r="J3">
        <v>3157.045</v>
      </c>
      <c r="K3">
        <v>3296.25</v>
      </c>
      <c r="L3">
        <v>3118</v>
      </c>
      <c r="M3">
        <v>2876.124</v>
      </c>
      <c r="N3">
        <v>2878.83</v>
      </c>
      <c r="P3">
        <f t="shared" ref="P3:P66" si="4">ABS($F3-G3)</f>
        <v>320.428983785591</v>
      </c>
      <c r="Q3">
        <f t="shared" ref="Q3:Q66" si="5">ABS($F3-H3)</f>
        <v>242.5634304036</v>
      </c>
      <c r="R3">
        <f t="shared" ref="R3:R66" si="6">ABS($F3-I3)</f>
        <v>288.224</v>
      </c>
      <c r="S3">
        <f t="shared" ref="S3:S66" si="7">ABS($F3-J3)</f>
        <v>43.9549999999999</v>
      </c>
      <c r="T3">
        <f t="shared" ref="T3:T66" si="8">ABS($F3-K3)</f>
        <v>95.25</v>
      </c>
      <c r="U3">
        <f t="shared" ref="U3:U66" si="9">ABS($F3-L3)</f>
        <v>83</v>
      </c>
      <c r="V3">
        <f t="shared" ref="V3:V66" si="10">ABS($F3-M3)</f>
        <v>324.876</v>
      </c>
      <c r="W3">
        <f t="shared" ref="W3:W66" si="11">ABS($F3-N3)</f>
        <v>322.17</v>
      </c>
      <c r="X3">
        <f t="shared" ref="X3:X66" si="12">ABS(F3-4458.65)</f>
        <v>1257.65</v>
      </c>
      <c r="Y3">
        <f t="shared" ref="Y3:Y66" si="13">($F3-G3)^2</f>
        <v>102674.733649866</v>
      </c>
      <c r="Z3">
        <f t="shared" ref="Z3:Z66" si="14">($F3-H3)^2</f>
        <v>58837.017769162</v>
      </c>
      <c r="AA3">
        <f t="shared" ref="AA3:AA66" si="15">($F3-I3)^2</f>
        <v>83073.0741760001</v>
      </c>
      <c r="AB3">
        <f t="shared" ref="AB3:AB66" si="16">($F3-J3)^2</f>
        <v>1932.04202499999</v>
      </c>
      <c r="AC3">
        <f t="shared" ref="AC3:AC66" si="17">($F3-K3)^2</f>
        <v>9072.5625</v>
      </c>
      <c r="AD3">
        <f t="shared" ref="AD3:AD66" si="18">($F3-L3)^2</f>
        <v>6889</v>
      </c>
      <c r="AE3">
        <f t="shared" ref="AE3:AE66" si="19">($F3-M3)^2</f>
        <v>105544.415376</v>
      </c>
      <c r="AF3">
        <f t="shared" ref="AF3:AF66" si="20">($F3-N3)^2</f>
        <v>103793.5089</v>
      </c>
      <c r="AG3">
        <f t="shared" si="2"/>
        <v>1581683.5225</v>
      </c>
      <c r="AI3">
        <f t="shared" ref="AI3:AI66" si="21">(ABS(G3-4458.65)+ABS($F3-4458.65))^2</f>
        <v>4817458.77781807</v>
      </c>
      <c r="AJ3">
        <f t="shared" ref="AJ3:AJ66" si="22">(ABS(H3-4458.65)+ABS($F3-4458.65))^2</f>
        <v>7605810.70075751</v>
      </c>
      <c r="AK3">
        <f t="shared" ref="AK3:AK66" si="23">(ABS(I3-4458.65)+ABS($F3-4458.65))^2</f>
        <v>4959867.509776</v>
      </c>
      <c r="AL3">
        <f t="shared" ref="AL3:AL66" si="24">(ABS(J3-4458.65)+ABS($F3-4458.65))^2</f>
        <v>6549786.155025</v>
      </c>
      <c r="AM3">
        <f t="shared" ref="AM3:AM66" si="25">(ABS(K3-4458.65)+ABS($F3-4458.65))^2</f>
        <v>5856642.0025</v>
      </c>
      <c r="AN3">
        <f t="shared" ref="AN3:AN66" si="26">(ABS(L3-4458.65)+ABS($F3-4458.65))^2</f>
        <v>6751162.89</v>
      </c>
      <c r="AO3">
        <f t="shared" ref="AO3:AO66" si="27">(ABS(M3-4458.65)+ABS($F3-4458.65))^2</f>
        <v>8066599.710976</v>
      </c>
      <c r="AP3">
        <f t="shared" ref="AP3:AP66" si="28">(ABS(N3-4458.65)+ABS($F3-4458.65))^2</f>
        <v>8051236.0009</v>
      </c>
      <c r="BA3" s="51"/>
      <c r="BB3" s="5">
        <v>1</v>
      </c>
      <c r="BC3" s="5">
        <v>9</v>
      </c>
      <c r="BD3" s="5">
        <v>5</v>
      </c>
      <c r="BE3" s="5">
        <v>15</v>
      </c>
      <c r="BF3" s="5">
        <v>60</v>
      </c>
      <c r="BG3" s="5">
        <v>490</v>
      </c>
      <c r="BH3" s="39" t="s">
        <v>16</v>
      </c>
    </row>
    <row r="4" spans="1:60">
      <c r="A4">
        <v>1</v>
      </c>
      <c r="B4">
        <v>9</v>
      </c>
      <c r="C4">
        <v>20</v>
      </c>
      <c r="D4">
        <v>15</v>
      </c>
      <c r="E4">
        <v>60</v>
      </c>
      <c r="F4">
        <v>3260</v>
      </c>
      <c r="G4">
        <v>3701.35667809362</v>
      </c>
      <c r="H4">
        <v>3292.88755680551</v>
      </c>
      <c r="I4">
        <v>3637.854</v>
      </c>
      <c r="J4">
        <v>3267.629</v>
      </c>
      <c r="K4">
        <v>3296.25</v>
      </c>
      <c r="L4">
        <v>3118</v>
      </c>
      <c r="M4">
        <v>3126.861</v>
      </c>
      <c r="N4">
        <v>3231.297</v>
      </c>
      <c r="P4">
        <f t="shared" si="4"/>
        <v>441.356678093625</v>
      </c>
      <c r="Q4">
        <f t="shared" si="5"/>
        <v>32.88755680551</v>
      </c>
      <c r="R4">
        <f t="shared" si="6"/>
        <v>377.854</v>
      </c>
      <c r="S4">
        <f t="shared" si="7"/>
        <v>7.62899999999991</v>
      </c>
      <c r="T4">
        <f t="shared" si="8"/>
        <v>36.25</v>
      </c>
      <c r="U4">
        <f t="shared" si="9"/>
        <v>142</v>
      </c>
      <c r="V4">
        <f t="shared" si="10"/>
        <v>133.139</v>
      </c>
      <c r="W4">
        <f t="shared" si="11"/>
        <v>28.703</v>
      </c>
      <c r="X4">
        <f t="shared" si="12"/>
        <v>1198.65</v>
      </c>
      <c r="Y4">
        <f t="shared" si="13"/>
        <v>194795.71729784</v>
      </c>
      <c r="Z4">
        <f t="shared" si="14"/>
        <v>1081.59139263565</v>
      </c>
      <c r="AA4">
        <f t="shared" si="15"/>
        <v>142773.645316</v>
      </c>
      <c r="AB4">
        <f t="shared" si="16"/>
        <v>58.2016409999986</v>
      </c>
      <c r="AC4">
        <f t="shared" si="17"/>
        <v>1314.0625</v>
      </c>
      <c r="AD4">
        <f t="shared" si="18"/>
        <v>20164</v>
      </c>
      <c r="AE4">
        <f t="shared" si="19"/>
        <v>17725.993321</v>
      </c>
      <c r="AF4">
        <f t="shared" si="20"/>
        <v>823.862208999999</v>
      </c>
      <c r="AG4">
        <f t="shared" si="2"/>
        <v>1436761.8225</v>
      </c>
      <c r="AI4">
        <f t="shared" si="21"/>
        <v>3825714.27851014</v>
      </c>
      <c r="AJ4">
        <f t="shared" si="22"/>
        <v>5590446.20153293</v>
      </c>
      <c r="AK4">
        <f t="shared" si="23"/>
        <v>4078162.146916</v>
      </c>
      <c r="AL4">
        <f t="shared" si="24"/>
        <v>5710527.488241</v>
      </c>
      <c r="AM4">
        <f t="shared" si="25"/>
        <v>5574557.1025</v>
      </c>
      <c r="AN4">
        <f t="shared" si="26"/>
        <v>6448044.49</v>
      </c>
      <c r="AO4">
        <f t="shared" si="27"/>
        <v>6403121.532721</v>
      </c>
      <c r="AP4">
        <f t="shared" si="28"/>
        <v>5885490.556009</v>
      </c>
      <c r="BA4" s="50" t="s">
        <v>17</v>
      </c>
      <c r="BB4" s="52">
        <v>1.24166666666667</v>
      </c>
      <c r="BC4" s="52">
        <v>13.425</v>
      </c>
      <c r="BD4" s="52">
        <v>59.25</v>
      </c>
      <c r="BE4" s="52">
        <v>29.75</v>
      </c>
      <c r="BF4" s="52">
        <v>74.5</v>
      </c>
      <c r="BG4" s="52">
        <v>4458.65</v>
      </c>
      <c r="BH4" s="39" t="s">
        <v>15</v>
      </c>
    </row>
    <row r="5" spans="1:60">
      <c r="A5">
        <v>1</v>
      </c>
      <c r="B5">
        <v>9</v>
      </c>
      <c r="C5">
        <v>25</v>
      </c>
      <c r="D5">
        <v>15</v>
      </c>
      <c r="E5">
        <v>60</v>
      </c>
      <c r="F5">
        <v>3302</v>
      </c>
      <c r="G5">
        <v>3881.28437240166</v>
      </c>
      <c r="H5">
        <v>3578.13282256534</v>
      </c>
      <c r="I5">
        <v>3786.484</v>
      </c>
      <c r="J5">
        <v>3346.119</v>
      </c>
      <c r="K5">
        <v>3296.25</v>
      </c>
      <c r="L5">
        <v>3118</v>
      </c>
      <c r="M5">
        <v>3417.475</v>
      </c>
      <c r="N5">
        <v>3573.393</v>
      </c>
      <c r="P5">
        <f t="shared" si="4"/>
        <v>579.284372401659</v>
      </c>
      <c r="Q5">
        <f t="shared" si="5"/>
        <v>276.132822565338</v>
      </c>
      <c r="R5">
        <f t="shared" si="6"/>
        <v>484.484</v>
      </c>
      <c r="S5">
        <f t="shared" si="7"/>
        <v>44.1190000000001</v>
      </c>
      <c r="T5">
        <f t="shared" si="8"/>
        <v>5.75</v>
      </c>
      <c r="U5">
        <f t="shared" si="9"/>
        <v>184</v>
      </c>
      <c r="V5">
        <f t="shared" si="10"/>
        <v>115.475</v>
      </c>
      <c r="W5">
        <f t="shared" si="11"/>
        <v>271.393</v>
      </c>
      <c r="X5">
        <f t="shared" si="12"/>
        <v>1156.65</v>
      </c>
      <c r="Y5">
        <f t="shared" si="13"/>
        <v>335570.384108784</v>
      </c>
      <c r="Z5">
        <f t="shared" si="14"/>
        <v>76249.3356979004</v>
      </c>
      <c r="AA5">
        <f t="shared" si="15"/>
        <v>234724.746256</v>
      </c>
      <c r="AB5">
        <f t="shared" si="16"/>
        <v>1946.48616100001</v>
      </c>
      <c r="AC5">
        <f t="shared" si="17"/>
        <v>33.0625</v>
      </c>
      <c r="AD5">
        <f t="shared" si="18"/>
        <v>33856</v>
      </c>
      <c r="AE5">
        <f t="shared" si="19"/>
        <v>13334.475625</v>
      </c>
      <c r="AF5">
        <f t="shared" si="20"/>
        <v>73654.160449</v>
      </c>
      <c r="AG5">
        <f t="shared" si="2"/>
        <v>1337839.2225</v>
      </c>
      <c r="AI5">
        <f t="shared" si="21"/>
        <v>3006810.19675527</v>
      </c>
      <c r="AJ5">
        <f t="shared" si="22"/>
        <v>4150050.10881711</v>
      </c>
      <c r="AK5">
        <f t="shared" si="23"/>
        <v>3344567.961856</v>
      </c>
      <c r="AL5">
        <f t="shared" si="24"/>
        <v>5149182.410761</v>
      </c>
      <c r="AM5">
        <f t="shared" si="25"/>
        <v>5377992.9025</v>
      </c>
      <c r="AN5">
        <f t="shared" si="26"/>
        <v>6236507.29</v>
      </c>
      <c r="AO5">
        <f t="shared" si="27"/>
        <v>4830434.730625</v>
      </c>
      <c r="AP5">
        <f t="shared" si="28"/>
        <v>4169384.196649</v>
      </c>
      <c r="BA5" s="51"/>
      <c r="BB5" s="52">
        <v>1.26785714285714</v>
      </c>
      <c r="BC5" s="52">
        <v>13.6607142857143</v>
      </c>
      <c r="BD5" s="52">
        <v>53.75</v>
      </c>
      <c r="BE5" s="52">
        <v>30.5357142857143</v>
      </c>
      <c r="BF5" s="52">
        <v>76.0714285714286</v>
      </c>
      <c r="BG5" s="52">
        <v>4256.125</v>
      </c>
      <c r="BH5" s="39" t="s">
        <v>16</v>
      </c>
    </row>
    <row r="6" spans="1:60">
      <c r="A6">
        <v>1</v>
      </c>
      <c r="B6">
        <v>9</v>
      </c>
      <c r="C6">
        <v>30</v>
      </c>
      <c r="D6">
        <v>15</v>
      </c>
      <c r="E6">
        <v>60</v>
      </c>
      <c r="F6">
        <v>3422</v>
      </c>
      <c r="G6">
        <v>4061.21206670969</v>
      </c>
      <c r="H6">
        <v>3829.44293507394</v>
      </c>
      <c r="I6">
        <v>3935.114</v>
      </c>
      <c r="J6">
        <v>3475.343</v>
      </c>
      <c r="K6">
        <v>3296.25</v>
      </c>
      <c r="L6">
        <v>3118</v>
      </c>
      <c r="M6">
        <v>3750.723</v>
      </c>
      <c r="N6">
        <v>3900.265</v>
      </c>
      <c r="P6">
        <f t="shared" si="4"/>
        <v>639.212066709693</v>
      </c>
      <c r="Q6">
        <f t="shared" si="5"/>
        <v>407.442935073944</v>
      </c>
      <c r="R6">
        <f t="shared" si="6"/>
        <v>513.114</v>
      </c>
      <c r="S6">
        <f t="shared" si="7"/>
        <v>53.3429999999998</v>
      </c>
      <c r="T6">
        <f t="shared" si="8"/>
        <v>125.75</v>
      </c>
      <c r="U6">
        <f t="shared" si="9"/>
        <v>304</v>
      </c>
      <c r="V6">
        <f t="shared" si="10"/>
        <v>328.723</v>
      </c>
      <c r="W6">
        <f t="shared" si="11"/>
        <v>478.265</v>
      </c>
      <c r="X6">
        <f t="shared" si="12"/>
        <v>1036.65</v>
      </c>
      <c r="Y6">
        <f t="shared" si="13"/>
        <v>408592.066227277</v>
      </c>
      <c r="Z6">
        <f t="shared" si="14"/>
        <v>166009.74534167</v>
      </c>
      <c r="AA6">
        <f t="shared" si="15"/>
        <v>263285.976996</v>
      </c>
      <c r="AB6">
        <f t="shared" si="16"/>
        <v>2845.47564899998</v>
      </c>
      <c r="AC6">
        <f t="shared" si="17"/>
        <v>15813.0625</v>
      </c>
      <c r="AD6">
        <f t="shared" si="18"/>
        <v>92416</v>
      </c>
      <c r="AE6">
        <f t="shared" si="19"/>
        <v>108058.810729</v>
      </c>
      <c r="AF6">
        <f t="shared" si="20"/>
        <v>228737.410225</v>
      </c>
      <c r="AG6">
        <f t="shared" si="2"/>
        <v>1074643.2225</v>
      </c>
      <c r="AI6">
        <f t="shared" si="21"/>
        <v>2056608.20040886</v>
      </c>
      <c r="AJ6">
        <f t="shared" si="22"/>
        <v>2775079.76076405</v>
      </c>
      <c r="AK6">
        <f t="shared" si="23"/>
        <v>2434180.354596</v>
      </c>
      <c r="AL6">
        <f t="shared" si="24"/>
        <v>4080226.281849</v>
      </c>
      <c r="AM6">
        <f t="shared" si="25"/>
        <v>4835820.9025</v>
      </c>
      <c r="AN6">
        <f t="shared" si="26"/>
        <v>5651555.29</v>
      </c>
      <c r="AO6">
        <f t="shared" si="27"/>
        <v>3043548.908929</v>
      </c>
      <c r="AP6">
        <f t="shared" si="28"/>
        <v>2544136.651225</v>
      </c>
      <c r="BA6" s="50" t="s">
        <v>18</v>
      </c>
      <c r="BB6" s="5">
        <v>2</v>
      </c>
      <c r="BC6" s="5">
        <v>18</v>
      </c>
      <c r="BD6" s="5">
        <v>110</v>
      </c>
      <c r="BE6" s="5">
        <v>45</v>
      </c>
      <c r="BF6" s="5">
        <v>120</v>
      </c>
      <c r="BG6" s="5">
        <v>10159</v>
      </c>
      <c r="BH6" s="39" t="s">
        <v>15</v>
      </c>
    </row>
    <row r="7" spans="1:60">
      <c r="A7">
        <v>1</v>
      </c>
      <c r="B7">
        <v>9</v>
      </c>
      <c r="C7">
        <v>40</v>
      </c>
      <c r="D7">
        <v>15</v>
      </c>
      <c r="E7">
        <v>60</v>
      </c>
      <c r="F7">
        <v>4825</v>
      </c>
      <c r="G7">
        <v>4421.06745532576</v>
      </c>
      <c r="H7">
        <v>4262.36111329642</v>
      </c>
      <c r="I7">
        <v>4338.719</v>
      </c>
      <c r="J7">
        <v>4610.724</v>
      </c>
      <c r="K7">
        <v>4858</v>
      </c>
      <c r="L7">
        <v>5477.545</v>
      </c>
      <c r="M7">
        <v>4491.292</v>
      </c>
      <c r="N7">
        <v>4491.902</v>
      </c>
      <c r="P7">
        <f t="shared" si="4"/>
        <v>403.93254467424</v>
      </c>
      <c r="Q7">
        <f t="shared" si="5"/>
        <v>562.638886703577</v>
      </c>
      <c r="R7">
        <f t="shared" si="6"/>
        <v>486.281</v>
      </c>
      <c r="S7">
        <f t="shared" si="7"/>
        <v>214.276</v>
      </c>
      <c r="T7">
        <f t="shared" si="8"/>
        <v>33</v>
      </c>
      <c r="U7">
        <f t="shared" si="9"/>
        <v>652.545</v>
      </c>
      <c r="V7">
        <f t="shared" si="10"/>
        <v>333.708</v>
      </c>
      <c r="W7">
        <f t="shared" si="11"/>
        <v>333.098</v>
      </c>
      <c r="X7">
        <f t="shared" si="12"/>
        <v>366.35</v>
      </c>
      <c r="Y7">
        <f t="shared" si="13"/>
        <v>163161.500647007</v>
      </c>
      <c r="Z7">
        <f t="shared" si="14"/>
        <v>316562.51683104</v>
      </c>
      <c r="AA7">
        <f t="shared" si="15"/>
        <v>236469.210961</v>
      </c>
      <c r="AB7">
        <f t="shared" si="16"/>
        <v>45914.2041759999</v>
      </c>
      <c r="AC7">
        <f t="shared" si="17"/>
        <v>1089</v>
      </c>
      <c r="AD7">
        <f t="shared" si="18"/>
        <v>425814.977025</v>
      </c>
      <c r="AE7">
        <f t="shared" si="19"/>
        <v>111361.029264</v>
      </c>
      <c r="AF7">
        <f t="shared" si="20"/>
        <v>110954.277604</v>
      </c>
      <c r="AG7">
        <f t="shared" si="2"/>
        <v>134212.3225</v>
      </c>
      <c r="AI7">
        <f t="shared" si="21"/>
        <v>163161.500647007</v>
      </c>
      <c r="AJ7">
        <f t="shared" si="22"/>
        <v>316562.51683104</v>
      </c>
      <c r="AK7">
        <f t="shared" si="23"/>
        <v>236469.210961</v>
      </c>
      <c r="AL7">
        <f t="shared" si="24"/>
        <v>268763.443776001</v>
      </c>
      <c r="AM7">
        <f t="shared" si="25"/>
        <v>586296.490000001</v>
      </c>
      <c r="AN7">
        <f t="shared" si="26"/>
        <v>1918903.710025</v>
      </c>
      <c r="AO7">
        <f t="shared" si="27"/>
        <v>159194.616064001</v>
      </c>
      <c r="AP7">
        <f t="shared" si="28"/>
        <v>159681.758404001</v>
      </c>
      <c r="BA7" s="51"/>
      <c r="BB7" s="5">
        <v>2</v>
      </c>
      <c r="BC7" s="5">
        <v>18</v>
      </c>
      <c r="BD7" s="5">
        <v>105</v>
      </c>
      <c r="BE7" s="5">
        <v>45</v>
      </c>
      <c r="BF7" s="5">
        <v>120</v>
      </c>
      <c r="BG7" s="5">
        <v>10147</v>
      </c>
      <c r="BH7" s="39" t="s">
        <v>16</v>
      </c>
    </row>
    <row r="8" spans="1:60">
      <c r="A8">
        <v>1</v>
      </c>
      <c r="B8">
        <v>9</v>
      </c>
      <c r="C8">
        <v>45</v>
      </c>
      <c r="D8">
        <v>15</v>
      </c>
      <c r="E8">
        <v>60</v>
      </c>
      <c r="F8">
        <v>4865</v>
      </c>
      <c r="G8">
        <v>4600.99514963379</v>
      </c>
      <c r="H8">
        <v>4453.42664758774</v>
      </c>
      <c r="I8">
        <v>4471.687</v>
      </c>
      <c r="J8">
        <v>4740.76</v>
      </c>
      <c r="K8">
        <v>4858</v>
      </c>
      <c r="L8">
        <v>5477.545</v>
      </c>
      <c r="M8">
        <v>4841.062</v>
      </c>
      <c r="N8">
        <v>4750.228</v>
      </c>
      <c r="P8">
        <f t="shared" si="4"/>
        <v>264.004850366206</v>
      </c>
      <c r="Q8">
        <f t="shared" si="5"/>
        <v>411.573352412262</v>
      </c>
      <c r="R8">
        <f t="shared" si="6"/>
        <v>393.313</v>
      </c>
      <c r="S8">
        <f t="shared" si="7"/>
        <v>124.24</v>
      </c>
      <c r="T8">
        <f t="shared" si="8"/>
        <v>7</v>
      </c>
      <c r="U8">
        <f t="shared" si="9"/>
        <v>612.545</v>
      </c>
      <c r="V8">
        <f t="shared" si="10"/>
        <v>23.9380000000001</v>
      </c>
      <c r="W8">
        <f t="shared" si="11"/>
        <v>114.772</v>
      </c>
      <c r="X8">
        <f t="shared" si="12"/>
        <v>406.35</v>
      </c>
      <c r="Y8">
        <f t="shared" si="13"/>
        <v>69698.5610168826</v>
      </c>
      <c r="Z8">
        <f t="shared" si="14"/>
        <v>169392.624415868</v>
      </c>
      <c r="AA8">
        <f t="shared" si="15"/>
        <v>154695.115969</v>
      </c>
      <c r="AB8">
        <f t="shared" si="16"/>
        <v>15435.5775999999</v>
      </c>
      <c r="AC8">
        <f t="shared" si="17"/>
        <v>49</v>
      </c>
      <c r="AD8">
        <f t="shared" si="18"/>
        <v>375211.377025</v>
      </c>
      <c r="AE8">
        <f t="shared" si="19"/>
        <v>573.027844000005</v>
      </c>
      <c r="AF8">
        <f t="shared" si="20"/>
        <v>13172.611984</v>
      </c>
      <c r="AG8">
        <f t="shared" si="2"/>
        <v>165120.3225</v>
      </c>
      <c r="AI8">
        <f t="shared" si="21"/>
        <v>301066.367231653</v>
      </c>
      <c r="AJ8">
        <f t="shared" si="22"/>
        <v>169392.624415868</v>
      </c>
      <c r="AK8">
        <f t="shared" si="23"/>
        <v>175885.455769001</v>
      </c>
      <c r="AL8">
        <f t="shared" si="24"/>
        <v>473977.171600001</v>
      </c>
      <c r="AM8">
        <f t="shared" si="25"/>
        <v>649152.490000001</v>
      </c>
      <c r="AN8">
        <f t="shared" si="26"/>
        <v>2031323.310025</v>
      </c>
      <c r="AO8">
        <f t="shared" si="27"/>
        <v>622145.492644001</v>
      </c>
      <c r="AP8">
        <f t="shared" si="28"/>
        <v>487103.493184001</v>
      </c>
      <c r="BA8" s="50" t="s">
        <v>19</v>
      </c>
      <c r="BB8" s="52">
        <v>0.429888266377006</v>
      </c>
      <c r="BC8" s="52">
        <v>4.51824034313352</v>
      </c>
      <c r="BD8" s="52">
        <v>31.9969142419766</v>
      </c>
      <c r="BE8" s="52">
        <v>15.0608011437784</v>
      </c>
      <c r="BF8" s="52">
        <v>25.7932959826203</v>
      </c>
      <c r="BG8" s="52">
        <v>3099.75655495718</v>
      </c>
      <c r="BH8" s="39" t="s">
        <v>15</v>
      </c>
    </row>
    <row r="9" spans="1:60">
      <c r="A9">
        <v>1</v>
      </c>
      <c r="B9">
        <v>9</v>
      </c>
      <c r="C9">
        <v>50</v>
      </c>
      <c r="D9">
        <v>15</v>
      </c>
      <c r="E9">
        <v>60</v>
      </c>
      <c r="F9">
        <v>4884</v>
      </c>
      <c r="G9">
        <v>4780.92284394183</v>
      </c>
      <c r="H9">
        <v>4631.58669648217</v>
      </c>
      <c r="I9">
        <v>4604.656</v>
      </c>
      <c r="J9">
        <v>4980.037</v>
      </c>
      <c r="K9">
        <v>4858</v>
      </c>
      <c r="L9">
        <v>5477.545</v>
      </c>
      <c r="M9">
        <v>5136.908</v>
      </c>
      <c r="N9">
        <v>4980.585</v>
      </c>
      <c r="P9">
        <f t="shared" si="4"/>
        <v>103.077156058172</v>
      </c>
      <c r="Q9">
        <f t="shared" si="5"/>
        <v>252.413303517834</v>
      </c>
      <c r="R9">
        <f t="shared" si="6"/>
        <v>279.344</v>
      </c>
      <c r="S9">
        <f t="shared" si="7"/>
        <v>96.0370000000003</v>
      </c>
      <c r="T9">
        <f t="shared" si="8"/>
        <v>26</v>
      </c>
      <c r="U9">
        <f t="shared" si="9"/>
        <v>593.545</v>
      </c>
      <c r="V9">
        <f t="shared" si="10"/>
        <v>252.908</v>
      </c>
      <c r="W9">
        <f t="shared" si="11"/>
        <v>96.585</v>
      </c>
      <c r="X9">
        <f t="shared" si="12"/>
        <v>425.35</v>
      </c>
      <c r="Y9">
        <f t="shared" si="13"/>
        <v>10624.9001010408</v>
      </c>
      <c r="Z9">
        <f t="shared" si="14"/>
        <v>63712.4757927861</v>
      </c>
      <c r="AA9">
        <f t="shared" si="15"/>
        <v>78033.070336</v>
      </c>
      <c r="AB9">
        <f t="shared" si="16"/>
        <v>9223.10536900005</v>
      </c>
      <c r="AC9">
        <f t="shared" si="17"/>
        <v>676</v>
      </c>
      <c r="AD9">
        <f t="shared" si="18"/>
        <v>352295.667025</v>
      </c>
      <c r="AE9">
        <f t="shared" si="19"/>
        <v>63962.4564640002</v>
      </c>
      <c r="AF9">
        <f t="shared" si="20"/>
        <v>9328.66222500001</v>
      </c>
      <c r="AG9">
        <f t="shared" si="2"/>
        <v>180922.6225</v>
      </c>
      <c r="AI9">
        <f t="shared" si="21"/>
        <v>558939.916783667</v>
      </c>
      <c r="AJ9">
        <f t="shared" si="22"/>
        <v>357946.971187545</v>
      </c>
      <c r="AK9">
        <f t="shared" si="23"/>
        <v>326447.678736001</v>
      </c>
      <c r="AL9">
        <f t="shared" si="24"/>
        <v>896310.947169002</v>
      </c>
      <c r="AM9">
        <f t="shared" si="25"/>
        <v>680130.090000001</v>
      </c>
      <c r="AN9">
        <f t="shared" si="26"/>
        <v>2085843.620025</v>
      </c>
      <c r="AO9">
        <f t="shared" si="27"/>
        <v>1217950.617664</v>
      </c>
      <c r="AP9">
        <f t="shared" si="28"/>
        <v>897348.871225001</v>
      </c>
      <c r="BA9" s="51"/>
      <c r="BB9" s="52">
        <v>0.446850450011326</v>
      </c>
      <c r="BC9" s="52">
        <v>4.53782801755235</v>
      </c>
      <c r="BD9" s="52">
        <v>31.3666006504313</v>
      </c>
      <c r="BE9" s="52">
        <v>15.1260933918412</v>
      </c>
      <c r="BF9" s="52">
        <v>26.8110270006796</v>
      </c>
      <c r="BG9" s="52">
        <v>3169.31911278059</v>
      </c>
      <c r="BH9" s="39" t="s">
        <v>16</v>
      </c>
    </row>
    <row r="10" spans="1:60">
      <c r="A10">
        <v>1</v>
      </c>
      <c r="B10">
        <v>9</v>
      </c>
      <c r="C10">
        <v>55</v>
      </c>
      <c r="D10">
        <v>15</v>
      </c>
      <c r="E10">
        <v>60</v>
      </c>
      <c r="F10">
        <v>5510</v>
      </c>
      <c r="G10">
        <v>4960.85053824986</v>
      </c>
      <c r="H10">
        <v>4798.88427421617</v>
      </c>
      <c r="I10">
        <v>4765.653</v>
      </c>
      <c r="J10">
        <v>5473.096</v>
      </c>
      <c r="K10">
        <v>5510</v>
      </c>
      <c r="L10">
        <v>5477.545</v>
      </c>
      <c r="M10">
        <v>5361.993</v>
      </c>
      <c r="N10">
        <v>5181.779</v>
      </c>
      <c r="P10">
        <f t="shared" si="4"/>
        <v>549.149461750138</v>
      </c>
      <c r="Q10">
        <f t="shared" si="5"/>
        <v>711.115725783832</v>
      </c>
      <c r="R10">
        <f t="shared" si="6"/>
        <v>744.347</v>
      </c>
      <c r="S10">
        <f t="shared" si="7"/>
        <v>36.9040000000005</v>
      </c>
      <c r="T10">
        <f t="shared" si="8"/>
        <v>0</v>
      </c>
      <c r="U10">
        <f t="shared" si="9"/>
        <v>32.4549999999999</v>
      </c>
      <c r="V10">
        <f t="shared" si="10"/>
        <v>148.007</v>
      </c>
      <c r="W10">
        <f t="shared" si="11"/>
        <v>328.221</v>
      </c>
      <c r="X10">
        <f t="shared" si="12"/>
        <v>1051.35</v>
      </c>
      <c r="Y10">
        <f t="shared" si="13"/>
        <v>301565.131340466</v>
      </c>
      <c r="Z10">
        <f t="shared" si="14"/>
        <v>505685.575457066</v>
      </c>
      <c r="AA10">
        <f t="shared" si="15"/>
        <v>554052.456409</v>
      </c>
      <c r="AB10">
        <f t="shared" si="16"/>
        <v>1361.90521600003</v>
      </c>
      <c r="AC10">
        <f t="shared" si="17"/>
        <v>0</v>
      </c>
      <c r="AD10">
        <f t="shared" si="18"/>
        <v>1053.327025</v>
      </c>
      <c r="AE10">
        <f t="shared" si="19"/>
        <v>21906.0720489999</v>
      </c>
      <c r="AF10">
        <f t="shared" si="20"/>
        <v>107729.024841</v>
      </c>
      <c r="AG10">
        <f t="shared" si="2"/>
        <v>1105336.8225</v>
      </c>
      <c r="AI10">
        <f t="shared" si="21"/>
        <v>2413519.27489644</v>
      </c>
      <c r="AJ10">
        <f t="shared" si="22"/>
        <v>1936506.79224574</v>
      </c>
      <c r="AK10">
        <f t="shared" si="23"/>
        <v>1845122.872609</v>
      </c>
      <c r="AL10">
        <f t="shared" si="24"/>
        <v>4267513.113616</v>
      </c>
      <c r="AM10">
        <f t="shared" si="25"/>
        <v>4421347.29</v>
      </c>
      <c r="AN10">
        <f t="shared" si="26"/>
        <v>4285914.360025</v>
      </c>
      <c r="AO10">
        <f t="shared" si="27"/>
        <v>3820824.724249</v>
      </c>
      <c r="AP10">
        <f t="shared" si="28"/>
        <v>3148775.721441</v>
      </c>
      <c r="BA10" s="50" t="s">
        <v>20</v>
      </c>
      <c r="BB10" s="52">
        <v>-0.515010772619911</v>
      </c>
      <c r="BC10" s="52">
        <v>-2.03302887626687</v>
      </c>
      <c r="BD10" s="52">
        <v>-1.23401554193657</v>
      </c>
      <c r="BE10" s="52">
        <v>-2.03302887626688</v>
      </c>
      <c r="BF10" s="52">
        <v>-0.515010772619901</v>
      </c>
      <c r="BG10" s="52">
        <v>-0.984197868793631</v>
      </c>
      <c r="BH10" s="39" t="s">
        <v>15</v>
      </c>
    </row>
    <row r="11" spans="1:60">
      <c r="A11">
        <v>1</v>
      </c>
      <c r="B11">
        <v>9</v>
      </c>
      <c r="C11">
        <v>70</v>
      </c>
      <c r="D11">
        <v>15</v>
      </c>
      <c r="E11">
        <v>60</v>
      </c>
      <c r="F11">
        <v>5642</v>
      </c>
      <c r="G11">
        <v>5500.63362117396</v>
      </c>
      <c r="H11">
        <v>5249.68450086011</v>
      </c>
      <c r="I11">
        <v>5159.555</v>
      </c>
      <c r="J11">
        <v>5585.9</v>
      </c>
      <c r="K11">
        <v>5658.5</v>
      </c>
      <c r="L11">
        <v>5477.545</v>
      </c>
      <c r="M11">
        <v>5652.267</v>
      </c>
      <c r="N11">
        <v>5610.529</v>
      </c>
      <c r="P11">
        <f t="shared" si="4"/>
        <v>141.366378826036</v>
      </c>
      <c r="Q11">
        <f t="shared" si="5"/>
        <v>392.315499139888</v>
      </c>
      <c r="R11">
        <f t="shared" si="6"/>
        <v>482.445</v>
      </c>
      <c r="S11">
        <f t="shared" si="7"/>
        <v>56.1000000000004</v>
      </c>
      <c r="T11">
        <f t="shared" si="8"/>
        <v>16.5</v>
      </c>
      <c r="U11">
        <f t="shared" si="9"/>
        <v>164.455</v>
      </c>
      <c r="V11">
        <f t="shared" si="10"/>
        <v>10.2669999999998</v>
      </c>
      <c r="W11">
        <f t="shared" si="11"/>
        <v>31.4709999999995</v>
      </c>
      <c r="X11">
        <f t="shared" si="12"/>
        <v>1183.35</v>
      </c>
      <c r="Y11">
        <f t="shared" si="13"/>
        <v>19984.4530623864</v>
      </c>
      <c r="Z11">
        <f t="shared" si="14"/>
        <v>153911.450865379</v>
      </c>
      <c r="AA11">
        <f t="shared" si="15"/>
        <v>232753.178025</v>
      </c>
      <c r="AB11">
        <f t="shared" si="16"/>
        <v>3147.21000000004</v>
      </c>
      <c r="AC11">
        <f t="shared" si="17"/>
        <v>272.25</v>
      </c>
      <c r="AD11">
        <f t="shared" si="18"/>
        <v>27045.447025</v>
      </c>
      <c r="AE11">
        <f t="shared" si="19"/>
        <v>105.411288999996</v>
      </c>
      <c r="AF11">
        <f t="shared" si="20"/>
        <v>990.423840999972</v>
      </c>
      <c r="AG11">
        <f t="shared" si="2"/>
        <v>1400317.2225</v>
      </c>
      <c r="AI11">
        <f t="shared" si="21"/>
        <v>4952109.72552723</v>
      </c>
      <c r="AJ11">
        <f t="shared" si="22"/>
        <v>3898194.15723664</v>
      </c>
      <c r="AK11">
        <f t="shared" si="23"/>
        <v>3550416.905025</v>
      </c>
      <c r="AL11">
        <f t="shared" si="24"/>
        <v>5338872.36</v>
      </c>
      <c r="AM11">
        <f t="shared" si="25"/>
        <v>5679642.24</v>
      </c>
      <c r="AN11">
        <f t="shared" si="26"/>
        <v>4849883.040025</v>
      </c>
      <c r="AO11">
        <f t="shared" si="27"/>
        <v>5649972.119089</v>
      </c>
      <c r="AP11">
        <f t="shared" si="28"/>
        <v>5453294.48244101</v>
      </c>
      <c r="BA11" s="51"/>
      <c r="BB11" s="52">
        <v>-0.871435632595316</v>
      </c>
      <c r="BC11" s="52">
        <v>-2.0698758470753</v>
      </c>
      <c r="BD11" s="52">
        <v>-1.249214558489</v>
      </c>
      <c r="BE11" s="52">
        <v>-2.0698758470753</v>
      </c>
      <c r="BF11" s="52">
        <v>-0.871435632595319</v>
      </c>
      <c r="BG11" s="52">
        <v>-0.949211802029056</v>
      </c>
      <c r="BH11" s="39" t="s">
        <v>16</v>
      </c>
    </row>
    <row r="12" spans="1:60">
      <c r="A12">
        <v>1</v>
      </c>
      <c r="B12">
        <v>9</v>
      </c>
      <c r="C12">
        <v>75</v>
      </c>
      <c r="D12">
        <v>15</v>
      </c>
      <c r="E12">
        <v>60</v>
      </c>
      <c r="F12">
        <v>5675</v>
      </c>
      <c r="G12">
        <v>5680.561315482</v>
      </c>
      <c r="H12">
        <v>5386.27470481637</v>
      </c>
      <c r="I12">
        <v>5290.856</v>
      </c>
      <c r="J12">
        <v>5616.547</v>
      </c>
      <c r="K12">
        <v>5658.5</v>
      </c>
      <c r="L12">
        <v>5477.545</v>
      </c>
      <c r="M12">
        <v>5675.669</v>
      </c>
      <c r="N12">
        <v>5698.853</v>
      </c>
      <c r="P12">
        <f t="shared" si="4"/>
        <v>5.56131548199664</v>
      </c>
      <c r="Q12">
        <f t="shared" si="5"/>
        <v>288.72529518363</v>
      </c>
      <c r="R12">
        <f t="shared" si="6"/>
        <v>384.144</v>
      </c>
      <c r="S12">
        <f t="shared" si="7"/>
        <v>58.4530000000004</v>
      </c>
      <c r="T12">
        <f t="shared" si="8"/>
        <v>16.5</v>
      </c>
      <c r="U12">
        <f t="shared" si="9"/>
        <v>197.455</v>
      </c>
      <c r="V12">
        <f t="shared" si="10"/>
        <v>0.668999999999869</v>
      </c>
      <c r="W12">
        <f t="shared" si="11"/>
        <v>23.8530000000001</v>
      </c>
      <c r="X12">
        <f t="shared" si="12"/>
        <v>1216.35</v>
      </c>
      <c r="Y12">
        <f t="shared" si="13"/>
        <v>30.9282298902956</v>
      </c>
      <c r="Z12">
        <f t="shared" si="14"/>
        <v>83362.2960788742</v>
      </c>
      <c r="AA12">
        <f t="shared" si="15"/>
        <v>147566.612736</v>
      </c>
      <c r="AB12">
        <f t="shared" si="16"/>
        <v>3416.75320900005</v>
      </c>
      <c r="AC12">
        <f t="shared" si="17"/>
        <v>272.25</v>
      </c>
      <c r="AD12">
        <f t="shared" si="18"/>
        <v>38988.477025</v>
      </c>
      <c r="AE12">
        <f t="shared" si="19"/>
        <v>0.447560999999825</v>
      </c>
      <c r="AF12">
        <f t="shared" si="20"/>
        <v>568.965609000003</v>
      </c>
      <c r="AG12">
        <f t="shared" si="2"/>
        <v>1479507.3225</v>
      </c>
      <c r="AI12">
        <f t="shared" si="21"/>
        <v>5945118.242576</v>
      </c>
      <c r="AJ12">
        <f t="shared" si="22"/>
        <v>4596627.53489244</v>
      </c>
      <c r="AK12">
        <f t="shared" si="23"/>
        <v>4196581.685136</v>
      </c>
      <c r="AL12">
        <f t="shared" si="24"/>
        <v>5637048.817009</v>
      </c>
      <c r="AM12">
        <f t="shared" si="25"/>
        <v>5838022.44</v>
      </c>
      <c r="AN12">
        <f t="shared" si="26"/>
        <v>4996320.210025</v>
      </c>
      <c r="AO12">
        <f t="shared" si="27"/>
        <v>5921284.690161</v>
      </c>
      <c r="AP12">
        <f t="shared" si="28"/>
        <v>6034652.641809</v>
      </c>
      <c r="BA12" s="50" t="s">
        <v>21</v>
      </c>
      <c r="BB12" s="52">
        <v>1.22223324037593</v>
      </c>
      <c r="BC12" s="52">
        <v>0.0337614560750791</v>
      </c>
      <c r="BD12" s="52">
        <v>0.0275021372910142</v>
      </c>
      <c r="BE12" s="52">
        <v>0.0337614560750799</v>
      </c>
      <c r="BF12" s="52">
        <v>1.22223324037593</v>
      </c>
      <c r="BG12" s="52">
        <v>0.523011588896399</v>
      </c>
      <c r="BH12" s="39" t="s">
        <v>15</v>
      </c>
    </row>
    <row r="13" spans="1:60">
      <c r="A13">
        <v>1</v>
      </c>
      <c r="B13">
        <v>9</v>
      </c>
      <c r="C13">
        <v>80</v>
      </c>
      <c r="D13">
        <v>15</v>
      </c>
      <c r="E13">
        <v>60</v>
      </c>
      <c r="F13">
        <v>5685</v>
      </c>
      <c r="G13">
        <v>5860.48900979003</v>
      </c>
      <c r="H13">
        <v>5517.2616576578</v>
      </c>
      <c r="I13">
        <v>5422.157</v>
      </c>
      <c r="J13">
        <v>5601.204</v>
      </c>
      <c r="K13">
        <v>5770.4</v>
      </c>
      <c r="L13">
        <v>5477.545</v>
      </c>
      <c r="M13">
        <v>5692.819</v>
      </c>
      <c r="N13">
        <v>5763.233</v>
      </c>
      <c r="P13">
        <f t="shared" si="4"/>
        <v>175.48900979003</v>
      </c>
      <c r="Q13">
        <f t="shared" si="5"/>
        <v>167.738342342197</v>
      </c>
      <c r="R13">
        <f t="shared" si="6"/>
        <v>262.843</v>
      </c>
      <c r="S13">
        <f t="shared" si="7"/>
        <v>83.7960000000003</v>
      </c>
      <c r="T13">
        <f t="shared" si="8"/>
        <v>85.3999999999996</v>
      </c>
      <c r="U13">
        <f t="shared" si="9"/>
        <v>207.455</v>
      </c>
      <c r="V13">
        <f t="shared" si="10"/>
        <v>7.81900000000041</v>
      </c>
      <c r="W13">
        <f t="shared" si="11"/>
        <v>78.2330000000002</v>
      </c>
      <c r="X13">
        <f t="shared" si="12"/>
        <v>1226.35</v>
      </c>
      <c r="Y13">
        <f t="shared" si="13"/>
        <v>30796.3925570852</v>
      </c>
      <c r="Z13">
        <f t="shared" si="14"/>
        <v>28136.1514917081</v>
      </c>
      <c r="AA13">
        <f t="shared" si="15"/>
        <v>69086.4426489999</v>
      </c>
      <c r="AB13">
        <f t="shared" si="16"/>
        <v>7021.76961600005</v>
      </c>
      <c r="AC13">
        <f t="shared" si="17"/>
        <v>7293.15999999994</v>
      </c>
      <c r="AD13">
        <f t="shared" si="18"/>
        <v>43037.577025</v>
      </c>
      <c r="AE13">
        <f t="shared" si="19"/>
        <v>61.1367610000065</v>
      </c>
      <c r="AF13">
        <f t="shared" si="20"/>
        <v>6120.40228900003</v>
      </c>
      <c r="AG13">
        <f t="shared" si="2"/>
        <v>1503934.3225</v>
      </c>
      <c r="AI13">
        <f t="shared" si="21"/>
        <v>6907377.4711811</v>
      </c>
      <c r="AJ13">
        <f t="shared" si="22"/>
        <v>5221049.7769663</v>
      </c>
      <c r="AK13">
        <f t="shared" si="23"/>
        <v>4795473.680449</v>
      </c>
      <c r="AL13">
        <f t="shared" si="24"/>
        <v>5611706.161216</v>
      </c>
      <c r="AM13">
        <f t="shared" si="25"/>
        <v>6441951.61</v>
      </c>
      <c r="AN13">
        <f t="shared" si="26"/>
        <v>5041125.110025</v>
      </c>
      <c r="AO13">
        <f t="shared" si="27"/>
        <v>6054153.74936101</v>
      </c>
      <c r="AP13">
        <f t="shared" si="28"/>
        <v>6405621.850489</v>
      </c>
      <c r="BA13" s="51"/>
      <c r="BB13" s="52">
        <v>1.07750027211403</v>
      </c>
      <c r="BC13" s="52">
        <v>-0.0734565814402839</v>
      </c>
      <c r="BD13" s="52">
        <v>-0.0818526451979613</v>
      </c>
      <c r="BE13" s="52">
        <v>-0.0734565814402829</v>
      </c>
      <c r="BF13" s="52">
        <v>1.07750027211403</v>
      </c>
      <c r="BG13" s="52">
        <v>0.568080240806617</v>
      </c>
      <c r="BH13" s="39" t="s">
        <v>16</v>
      </c>
    </row>
    <row r="14" spans="1:60">
      <c r="A14">
        <v>1</v>
      </c>
      <c r="B14">
        <v>9</v>
      </c>
      <c r="C14">
        <v>85</v>
      </c>
      <c r="D14">
        <v>15</v>
      </c>
      <c r="E14">
        <v>60</v>
      </c>
      <c r="F14">
        <v>5698</v>
      </c>
      <c r="G14">
        <v>6040.41670409806</v>
      </c>
      <c r="H14">
        <v>5643.20508587503</v>
      </c>
      <c r="I14">
        <v>5553.457</v>
      </c>
      <c r="J14">
        <v>5601.201</v>
      </c>
      <c r="K14">
        <v>5770.4</v>
      </c>
      <c r="L14">
        <v>5477.545</v>
      </c>
      <c r="M14">
        <v>5714.898</v>
      </c>
      <c r="N14">
        <v>5806.356</v>
      </c>
      <c r="P14">
        <f t="shared" si="4"/>
        <v>342.416704098065</v>
      </c>
      <c r="Q14">
        <f t="shared" si="5"/>
        <v>54.7949141249737</v>
      </c>
      <c r="R14">
        <f t="shared" si="6"/>
        <v>144.543</v>
      </c>
      <c r="S14">
        <f t="shared" si="7"/>
        <v>96.799</v>
      </c>
      <c r="T14">
        <f t="shared" si="8"/>
        <v>72.3999999999996</v>
      </c>
      <c r="U14">
        <f t="shared" si="9"/>
        <v>220.455</v>
      </c>
      <c r="V14">
        <f t="shared" si="10"/>
        <v>16.8980000000001</v>
      </c>
      <c r="W14">
        <f t="shared" si="11"/>
        <v>108.356</v>
      </c>
      <c r="X14">
        <f t="shared" si="12"/>
        <v>1239.35</v>
      </c>
      <c r="Y14">
        <f t="shared" si="13"/>
        <v>117249.199245382</v>
      </c>
      <c r="Z14">
        <f t="shared" si="14"/>
        <v>3002.48261396325</v>
      </c>
      <c r="AA14">
        <f t="shared" si="15"/>
        <v>20892.6788489999</v>
      </c>
      <c r="AB14">
        <f t="shared" si="16"/>
        <v>9370.046401</v>
      </c>
      <c r="AC14">
        <f t="shared" si="17"/>
        <v>5241.75999999995</v>
      </c>
      <c r="AD14">
        <f t="shared" si="18"/>
        <v>48600.407025</v>
      </c>
      <c r="AE14">
        <f t="shared" si="19"/>
        <v>285.542404000005</v>
      </c>
      <c r="AF14">
        <f t="shared" si="20"/>
        <v>11741.0227359999</v>
      </c>
      <c r="AG14">
        <f t="shared" si="2"/>
        <v>1535988.4225</v>
      </c>
      <c r="AI14">
        <f t="shared" si="21"/>
        <v>7958699.45814113</v>
      </c>
      <c r="AJ14">
        <f t="shared" si="22"/>
        <v>5875315.86533082</v>
      </c>
      <c r="AK14">
        <f t="shared" si="23"/>
        <v>5448288.900649</v>
      </c>
      <c r="AL14">
        <f t="shared" si="24"/>
        <v>5673452.373801</v>
      </c>
      <c r="AM14">
        <f t="shared" si="25"/>
        <v>6508111.21</v>
      </c>
      <c r="AN14">
        <f t="shared" si="26"/>
        <v>5099670.480025</v>
      </c>
      <c r="AO14">
        <f t="shared" si="27"/>
        <v>6228009.377604</v>
      </c>
      <c r="AP14">
        <f t="shared" si="28"/>
        <v>6692858.747136</v>
      </c>
      <c r="BA14" s="50" t="s">
        <v>22</v>
      </c>
      <c r="BB14" s="52">
        <v>0.0777055537759506</v>
      </c>
      <c r="BC14" s="52">
        <v>0.816706096481657</v>
      </c>
      <c r="BD14" s="52">
        <v>5.78368412157104</v>
      </c>
      <c r="BE14" s="52">
        <v>2.72235365493886</v>
      </c>
      <c r="BF14" s="52">
        <v>4.66233322655703</v>
      </c>
      <c r="BG14" s="52">
        <v>560.30442911029</v>
      </c>
      <c r="BH14" s="39" t="s">
        <v>15</v>
      </c>
    </row>
    <row r="15" spans="1:60">
      <c r="A15">
        <v>1</v>
      </c>
      <c r="B15">
        <v>9</v>
      </c>
      <c r="C15">
        <v>90</v>
      </c>
      <c r="D15">
        <v>15</v>
      </c>
      <c r="E15">
        <v>60</v>
      </c>
      <c r="F15">
        <v>5758</v>
      </c>
      <c r="G15">
        <v>6220.3443984061</v>
      </c>
      <c r="H15">
        <v>5764.579639036</v>
      </c>
      <c r="I15">
        <v>5684.758</v>
      </c>
      <c r="J15">
        <v>5603.553</v>
      </c>
      <c r="K15">
        <v>5770.4</v>
      </c>
      <c r="L15">
        <v>5477.545</v>
      </c>
      <c r="M15">
        <v>5745.628</v>
      </c>
      <c r="N15">
        <v>5831.178</v>
      </c>
      <c r="P15">
        <f t="shared" si="4"/>
        <v>462.344398406098</v>
      </c>
      <c r="Q15">
        <f t="shared" si="5"/>
        <v>6.57963903599648</v>
      </c>
      <c r="R15">
        <f t="shared" si="6"/>
        <v>73.2420000000002</v>
      </c>
      <c r="S15">
        <f t="shared" si="7"/>
        <v>154.447</v>
      </c>
      <c r="T15">
        <f t="shared" si="8"/>
        <v>12.3999999999996</v>
      </c>
      <c r="U15">
        <f t="shared" si="9"/>
        <v>280.455</v>
      </c>
      <c r="V15">
        <f t="shared" si="10"/>
        <v>12.3720000000003</v>
      </c>
      <c r="W15">
        <f t="shared" si="11"/>
        <v>73.1779999999999</v>
      </c>
      <c r="X15">
        <f t="shared" si="12"/>
        <v>1299.35</v>
      </c>
      <c r="Y15">
        <f t="shared" si="13"/>
        <v>213762.342737496</v>
      </c>
      <c r="Z15">
        <f t="shared" si="14"/>
        <v>43.2916498440087</v>
      </c>
      <c r="AA15">
        <f t="shared" si="15"/>
        <v>5364.39056400003</v>
      </c>
      <c r="AB15">
        <f t="shared" si="16"/>
        <v>23853.875809</v>
      </c>
      <c r="AC15">
        <f t="shared" si="17"/>
        <v>153.759999999991</v>
      </c>
      <c r="AD15">
        <f t="shared" si="18"/>
        <v>78655.007025</v>
      </c>
      <c r="AE15">
        <f t="shared" si="19"/>
        <v>153.066384000007</v>
      </c>
      <c r="AF15">
        <f t="shared" si="20"/>
        <v>5355.01968399998</v>
      </c>
      <c r="AG15">
        <f t="shared" si="2"/>
        <v>1688310.4225</v>
      </c>
      <c r="AI15">
        <f t="shared" si="21"/>
        <v>9369992.80901335</v>
      </c>
      <c r="AJ15">
        <f t="shared" si="22"/>
        <v>6787481.99757554</v>
      </c>
      <c r="AK15">
        <f t="shared" si="23"/>
        <v>6377938.109764</v>
      </c>
      <c r="AL15">
        <f t="shared" si="24"/>
        <v>5974372.728009</v>
      </c>
      <c r="AM15">
        <f t="shared" si="25"/>
        <v>6817843.21</v>
      </c>
      <c r="AN15">
        <f t="shared" si="26"/>
        <v>5374259.880025</v>
      </c>
      <c r="AO15">
        <f t="shared" si="27"/>
        <v>6689092.523584</v>
      </c>
      <c r="AP15">
        <f t="shared" si="28"/>
        <v>7138932.046884</v>
      </c>
      <c r="BA15" s="51"/>
      <c r="BB15" s="52">
        <v>0.119667331141113</v>
      </c>
      <c r="BC15" s="52">
        <v>1.21523827048645</v>
      </c>
      <c r="BD15" s="52">
        <v>8.40003045025704</v>
      </c>
      <c r="BE15" s="52">
        <v>4.05079423495484</v>
      </c>
      <c r="BF15" s="52">
        <v>7.18003986846676</v>
      </c>
      <c r="BG15" s="52">
        <v>848.749195063717</v>
      </c>
      <c r="BH15" s="39" t="s">
        <v>16</v>
      </c>
    </row>
    <row r="16" spans="1:59">
      <c r="A16">
        <v>1</v>
      </c>
      <c r="B16">
        <v>9</v>
      </c>
      <c r="C16">
        <v>105</v>
      </c>
      <c r="D16">
        <v>15</v>
      </c>
      <c r="E16">
        <v>60</v>
      </c>
      <c r="F16">
        <v>5852</v>
      </c>
      <c r="G16">
        <v>6760.1274813302</v>
      </c>
      <c r="H16">
        <v>6105.08767043615</v>
      </c>
      <c r="I16">
        <v>6078.66</v>
      </c>
      <c r="J16">
        <v>5704.534</v>
      </c>
      <c r="K16">
        <v>5770.4</v>
      </c>
      <c r="L16">
        <v>5477.545</v>
      </c>
      <c r="M16">
        <v>5843.71</v>
      </c>
      <c r="N16">
        <v>5826.833</v>
      </c>
      <c r="P16">
        <f t="shared" si="4"/>
        <v>908.127481330199</v>
      </c>
      <c r="Q16">
        <f t="shared" si="5"/>
        <v>253.087670436149</v>
      </c>
      <c r="R16">
        <f t="shared" si="6"/>
        <v>226.66</v>
      </c>
      <c r="S16">
        <f t="shared" si="7"/>
        <v>147.466</v>
      </c>
      <c r="T16">
        <f t="shared" si="8"/>
        <v>81.6000000000004</v>
      </c>
      <c r="U16">
        <f t="shared" si="9"/>
        <v>374.455</v>
      </c>
      <c r="V16">
        <f t="shared" si="10"/>
        <v>8.28999999999996</v>
      </c>
      <c r="W16">
        <f t="shared" si="11"/>
        <v>25.1670000000004</v>
      </c>
      <c r="X16">
        <f t="shared" si="12"/>
        <v>1393.35</v>
      </c>
      <c r="Y16">
        <f t="shared" si="13"/>
        <v>824695.522347131</v>
      </c>
      <c r="Z16">
        <f t="shared" si="14"/>
        <v>64053.3689267968</v>
      </c>
      <c r="AA16">
        <f t="shared" si="15"/>
        <v>51374.7555999999</v>
      </c>
      <c r="AB16">
        <f t="shared" si="16"/>
        <v>21746.2211560001</v>
      </c>
      <c r="AC16">
        <f t="shared" si="17"/>
        <v>6658.56000000006</v>
      </c>
      <c r="AD16">
        <f t="shared" si="18"/>
        <v>140216.547025</v>
      </c>
      <c r="AE16">
        <f t="shared" si="19"/>
        <v>68.7240999999994</v>
      </c>
      <c r="AF16">
        <f t="shared" si="20"/>
        <v>633.377889000019</v>
      </c>
      <c r="AG16">
        <f t="shared" si="2"/>
        <v>1941424.2225</v>
      </c>
      <c r="AI16">
        <f t="shared" si="21"/>
        <v>13651750.1167929</v>
      </c>
      <c r="AJ16">
        <f t="shared" si="22"/>
        <v>9240309.08133563</v>
      </c>
      <c r="AK16">
        <f t="shared" si="23"/>
        <v>9080338.4896</v>
      </c>
      <c r="AL16">
        <f t="shared" si="24"/>
        <v>6965556.106756</v>
      </c>
      <c r="AM16">
        <f t="shared" si="25"/>
        <v>7317566.01</v>
      </c>
      <c r="AN16">
        <f t="shared" si="26"/>
        <v>5818925.940025</v>
      </c>
      <c r="AO16">
        <f t="shared" si="27"/>
        <v>7719562.1281</v>
      </c>
      <c r="AP16">
        <f t="shared" si="28"/>
        <v>7626064.510089</v>
      </c>
      <c r="BA16" s="2" t="s">
        <v>23</v>
      </c>
      <c r="BB16" s="2">
        <v>120</v>
      </c>
      <c r="BC16" s="2">
        <v>120</v>
      </c>
      <c r="BD16" s="2">
        <v>120</v>
      </c>
      <c r="BE16" s="2">
        <v>120</v>
      </c>
      <c r="BF16" s="2">
        <v>120</v>
      </c>
      <c r="BG16" s="2">
        <v>120</v>
      </c>
    </row>
    <row r="17" ht="15.15" spans="1:42">
      <c r="A17">
        <v>1</v>
      </c>
      <c r="B17">
        <v>9</v>
      </c>
      <c r="C17">
        <v>110</v>
      </c>
      <c r="D17">
        <v>15</v>
      </c>
      <c r="E17">
        <v>60</v>
      </c>
      <c r="F17">
        <v>5859</v>
      </c>
      <c r="G17">
        <v>6940.05517563823</v>
      </c>
      <c r="H17">
        <v>6211.74496995946</v>
      </c>
      <c r="I17">
        <v>6209.961</v>
      </c>
      <c r="J17">
        <v>5834.066</v>
      </c>
      <c r="K17">
        <v>5770.4</v>
      </c>
      <c r="L17">
        <v>5477.545</v>
      </c>
      <c r="M17">
        <v>5854.226</v>
      </c>
      <c r="N17">
        <v>5809.076</v>
      </c>
      <c r="P17">
        <f t="shared" si="4"/>
        <v>1081.05517563823</v>
      </c>
      <c r="Q17">
        <f t="shared" si="5"/>
        <v>352.744969959458</v>
      </c>
      <c r="R17">
        <f t="shared" si="6"/>
        <v>350.961</v>
      </c>
      <c r="S17">
        <f t="shared" si="7"/>
        <v>24.9340000000002</v>
      </c>
      <c r="T17">
        <f t="shared" si="8"/>
        <v>88.6000000000004</v>
      </c>
      <c r="U17">
        <f t="shared" si="9"/>
        <v>381.455</v>
      </c>
      <c r="V17">
        <f t="shared" si="10"/>
        <v>4.77400000000034</v>
      </c>
      <c r="W17">
        <f t="shared" si="11"/>
        <v>49.924</v>
      </c>
      <c r="X17">
        <f t="shared" si="12"/>
        <v>1400.35</v>
      </c>
      <c r="Y17">
        <f t="shared" si="13"/>
        <v>1168680.29277421</v>
      </c>
      <c r="Z17">
        <f t="shared" si="14"/>
        <v>124429.013831699</v>
      </c>
      <c r="AA17">
        <f t="shared" si="15"/>
        <v>123173.623521</v>
      </c>
      <c r="AB17">
        <f t="shared" si="16"/>
        <v>621.70435600001</v>
      </c>
      <c r="AC17">
        <f t="shared" si="17"/>
        <v>7849.96000000006</v>
      </c>
      <c r="AD17">
        <f t="shared" si="18"/>
        <v>145507.917025</v>
      </c>
      <c r="AE17">
        <f t="shared" si="19"/>
        <v>22.7910760000033</v>
      </c>
      <c r="AF17">
        <f t="shared" si="20"/>
        <v>2492.405776</v>
      </c>
      <c r="AG17">
        <f t="shared" si="2"/>
        <v>1960980.1225</v>
      </c>
      <c r="AI17">
        <f t="shared" si="21"/>
        <v>15068023.2435942</v>
      </c>
      <c r="AJ17">
        <f t="shared" si="22"/>
        <v>9944215.17856261</v>
      </c>
      <c r="AK17">
        <f t="shared" si="23"/>
        <v>9932967.05892101</v>
      </c>
      <c r="AL17">
        <f t="shared" si="24"/>
        <v>7704876.886756</v>
      </c>
      <c r="AM17">
        <f t="shared" si="25"/>
        <v>7355486.41</v>
      </c>
      <c r="AN17">
        <f t="shared" si="26"/>
        <v>5852746.370025</v>
      </c>
      <c r="AO17">
        <f t="shared" si="27"/>
        <v>7817202.197476</v>
      </c>
      <c r="AP17">
        <f t="shared" si="28"/>
        <v>7566768.602176</v>
      </c>
    </row>
    <row r="18" spans="1:59">
      <c r="A18">
        <v>1</v>
      </c>
      <c r="B18">
        <v>9</v>
      </c>
      <c r="C18">
        <v>10</v>
      </c>
      <c r="D18">
        <v>45</v>
      </c>
      <c r="E18">
        <v>60</v>
      </c>
      <c r="F18">
        <v>944</v>
      </c>
      <c r="G18">
        <v>71.0871333042905</v>
      </c>
      <c r="H18">
        <v>1287.55077870771</v>
      </c>
      <c r="I18">
        <v>799.793</v>
      </c>
      <c r="J18">
        <v>1015.838</v>
      </c>
      <c r="K18">
        <v>995.25</v>
      </c>
      <c r="L18">
        <v>1040.2</v>
      </c>
      <c r="M18">
        <v>988.332</v>
      </c>
      <c r="N18">
        <v>835.157</v>
      </c>
      <c r="P18">
        <f t="shared" si="4"/>
        <v>872.912866695709</v>
      </c>
      <c r="Q18">
        <f t="shared" si="5"/>
        <v>343.550778707707</v>
      </c>
      <c r="R18">
        <f t="shared" si="6"/>
        <v>144.207</v>
      </c>
      <c r="S18">
        <f t="shared" si="7"/>
        <v>71.838</v>
      </c>
      <c r="T18">
        <f t="shared" si="8"/>
        <v>51.25</v>
      </c>
      <c r="U18">
        <f t="shared" si="9"/>
        <v>96.2</v>
      </c>
      <c r="V18">
        <f t="shared" si="10"/>
        <v>44.332</v>
      </c>
      <c r="W18">
        <f t="shared" si="11"/>
        <v>108.843</v>
      </c>
      <c r="X18">
        <f t="shared" si="12"/>
        <v>3514.65</v>
      </c>
      <c r="Y18">
        <f t="shared" si="13"/>
        <v>761976.872842921</v>
      </c>
      <c r="Z18">
        <f t="shared" si="14"/>
        <v>118027.137550672</v>
      </c>
      <c r="AA18">
        <f t="shared" si="15"/>
        <v>20795.658849</v>
      </c>
      <c r="AB18">
        <f t="shared" si="16"/>
        <v>5160.69824399999</v>
      </c>
      <c r="AC18">
        <f t="shared" si="17"/>
        <v>2626.5625</v>
      </c>
      <c r="AD18">
        <f t="shared" si="18"/>
        <v>9254.44000000001</v>
      </c>
      <c r="AE18">
        <f t="shared" si="19"/>
        <v>1965.326224</v>
      </c>
      <c r="AF18">
        <f t="shared" si="20"/>
        <v>11846.798649</v>
      </c>
      <c r="AG18">
        <f t="shared" si="2"/>
        <v>12352764.6225</v>
      </c>
      <c r="AI18">
        <f t="shared" si="21"/>
        <v>62444968.1905712</v>
      </c>
      <c r="AJ18">
        <f t="shared" si="22"/>
        <v>44699242.6500105</v>
      </c>
      <c r="AK18">
        <f t="shared" si="23"/>
        <v>51459202.679049</v>
      </c>
      <c r="AL18">
        <f t="shared" si="24"/>
        <v>48406277.481444</v>
      </c>
      <c r="AM18">
        <f t="shared" si="25"/>
        <v>48693181.8025</v>
      </c>
      <c r="AN18">
        <f t="shared" si="26"/>
        <v>48067875.61</v>
      </c>
      <c r="AO18">
        <f t="shared" si="27"/>
        <v>48789777.961024</v>
      </c>
      <c r="AP18">
        <f t="shared" si="28"/>
        <v>50953085.488449</v>
      </c>
      <c r="BB18" s="1" t="s">
        <v>0</v>
      </c>
      <c r="BC18" s="1" t="s">
        <v>1</v>
      </c>
      <c r="BD18" s="1" t="s">
        <v>2</v>
      </c>
      <c r="BE18" s="1" t="s">
        <v>3</v>
      </c>
      <c r="BF18" s="1" t="s">
        <v>4</v>
      </c>
      <c r="BG18" s="1" t="s">
        <v>5</v>
      </c>
    </row>
    <row r="19" spans="1:59">
      <c r="A19">
        <v>1</v>
      </c>
      <c r="B19">
        <v>9</v>
      </c>
      <c r="C19">
        <v>15</v>
      </c>
      <c r="D19">
        <v>45</v>
      </c>
      <c r="E19">
        <v>60</v>
      </c>
      <c r="F19">
        <v>975</v>
      </c>
      <c r="G19">
        <v>251.014827612324</v>
      </c>
      <c r="H19">
        <v>1497.34910409587</v>
      </c>
      <c r="I19">
        <v>935.93</v>
      </c>
      <c r="J19">
        <v>1025.857</v>
      </c>
      <c r="K19">
        <v>995.25</v>
      </c>
      <c r="L19">
        <v>1040.2</v>
      </c>
      <c r="M19">
        <v>935.48</v>
      </c>
      <c r="N19">
        <v>915.286</v>
      </c>
      <c r="P19">
        <f t="shared" si="4"/>
        <v>723.985172387676</v>
      </c>
      <c r="Q19">
        <f t="shared" si="5"/>
        <v>522.349104095873</v>
      </c>
      <c r="R19">
        <f t="shared" si="6"/>
        <v>39.0700000000001</v>
      </c>
      <c r="S19">
        <f t="shared" si="7"/>
        <v>50.857</v>
      </c>
      <c r="T19">
        <f t="shared" si="8"/>
        <v>20.25</v>
      </c>
      <c r="U19">
        <f t="shared" si="9"/>
        <v>65.2</v>
      </c>
      <c r="V19">
        <f t="shared" si="10"/>
        <v>39.52</v>
      </c>
      <c r="W19">
        <f t="shared" si="11"/>
        <v>59.7140000000001</v>
      </c>
      <c r="X19">
        <f t="shared" si="12"/>
        <v>3483.65</v>
      </c>
      <c r="Y19">
        <f t="shared" si="13"/>
        <v>524154.529837213</v>
      </c>
      <c r="Z19">
        <f t="shared" si="14"/>
        <v>272848.586549762</v>
      </c>
      <c r="AA19">
        <f t="shared" si="15"/>
        <v>1526.4649</v>
      </c>
      <c r="AB19">
        <f t="shared" si="16"/>
        <v>2586.434449</v>
      </c>
      <c r="AC19">
        <f t="shared" si="17"/>
        <v>410.0625</v>
      </c>
      <c r="AD19">
        <f t="shared" si="18"/>
        <v>4251.04000000001</v>
      </c>
      <c r="AE19">
        <f t="shared" si="19"/>
        <v>1561.8304</v>
      </c>
      <c r="AF19">
        <f t="shared" si="20"/>
        <v>3565.76179600001</v>
      </c>
      <c r="AG19">
        <f t="shared" si="2"/>
        <v>12135817.3225</v>
      </c>
      <c r="AI19">
        <f t="shared" si="21"/>
        <v>59155867.6029905</v>
      </c>
      <c r="AJ19">
        <f t="shared" si="22"/>
        <v>41537392.0506154</v>
      </c>
      <c r="AK19">
        <f t="shared" si="23"/>
        <v>49089220.5769</v>
      </c>
      <c r="AL19">
        <f t="shared" si="24"/>
        <v>47837183.772249</v>
      </c>
      <c r="AM19">
        <f t="shared" si="25"/>
        <v>48261503.7025</v>
      </c>
      <c r="AN19">
        <f t="shared" si="26"/>
        <v>47638984.41</v>
      </c>
      <c r="AO19">
        <f t="shared" si="27"/>
        <v>49095526.5124</v>
      </c>
      <c r="AP19">
        <f t="shared" si="28"/>
        <v>49378925.756196</v>
      </c>
      <c r="BA19" s="2"/>
      <c r="BB19" s="2"/>
      <c r="BC19" s="2"/>
      <c r="BD19" s="2"/>
      <c r="BE19" s="2"/>
      <c r="BF19" s="2"/>
      <c r="BG19" s="2"/>
    </row>
    <row r="20" spans="1:42">
      <c r="A20">
        <v>1</v>
      </c>
      <c r="B20">
        <v>9</v>
      </c>
      <c r="C20">
        <v>20</v>
      </c>
      <c r="D20">
        <v>45</v>
      </c>
      <c r="E20">
        <v>60</v>
      </c>
      <c r="F20">
        <v>987</v>
      </c>
      <c r="G20">
        <v>430.942521920358</v>
      </c>
      <c r="H20">
        <v>1666.62428518582</v>
      </c>
      <c r="I20">
        <v>1072.068</v>
      </c>
      <c r="J20">
        <v>1166.115</v>
      </c>
      <c r="K20">
        <v>995.25</v>
      </c>
      <c r="L20">
        <v>1040.2</v>
      </c>
      <c r="M20">
        <v>933.165</v>
      </c>
      <c r="N20">
        <v>1013.244</v>
      </c>
      <c r="P20">
        <f t="shared" si="4"/>
        <v>556.057478079642</v>
      </c>
      <c r="Q20">
        <f t="shared" si="5"/>
        <v>679.624285185816</v>
      </c>
      <c r="R20">
        <f t="shared" si="6"/>
        <v>85.068</v>
      </c>
      <c r="S20">
        <f t="shared" si="7"/>
        <v>179.115</v>
      </c>
      <c r="T20">
        <f t="shared" si="8"/>
        <v>8.25</v>
      </c>
      <c r="U20">
        <f t="shared" si="9"/>
        <v>53.2</v>
      </c>
      <c r="V20">
        <f t="shared" si="10"/>
        <v>53.835</v>
      </c>
      <c r="W20">
        <f t="shared" si="11"/>
        <v>26.244</v>
      </c>
      <c r="X20">
        <f t="shared" si="12"/>
        <v>3471.65</v>
      </c>
      <c r="Y20">
        <f t="shared" si="13"/>
        <v>309199.918928292</v>
      </c>
      <c r="Z20">
        <f t="shared" si="14"/>
        <v>461889.169014332</v>
      </c>
      <c r="AA20">
        <f t="shared" si="15"/>
        <v>7236.564624</v>
      </c>
      <c r="AB20">
        <f t="shared" si="16"/>
        <v>32082.183225</v>
      </c>
      <c r="AC20">
        <f t="shared" si="17"/>
        <v>68.0625</v>
      </c>
      <c r="AD20">
        <f t="shared" si="18"/>
        <v>2830.24</v>
      </c>
      <c r="AE20">
        <f t="shared" si="19"/>
        <v>2898.207225</v>
      </c>
      <c r="AF20">
        <f t="shared" si="20"/>
        <v>688.747536000001</v>
      </c>
      <c r="AG20">
        <f t="shared" si="2"/>
        <v>12052353.7225</v>
      </c>
      <c r="AI20">
        <f t="shared" si="21"/>
        <v>56240362.584029</v>
      </c>
      <c r="AJ20">
        <f t="shared" si="22"/>
        <v>39233633.460353</v>
      </c>
      <c r="AK20">
        <f t="shared" si="23"/>
        <v>47035346.165824</v>
      </c>
      <c r="AL20">
        <f t="shared" si="24"/>
        <v>45754198.714225</v>
      </c>
      <c r="AM20">
        <f t="shared" si="25"/>
        <v>48094918.5025</v>
      </c>
      <c r="AN20">
        <f t="shared" si="26"/>
        <v>47473478.01</v>
      </c>
      <c r="AO20">
        <f t="shared" si="27"/>
        <v>48959898.208225</v>
      </c>
      <c r="AP20">
        <f t="shared" si="28"/>
        <v>47845663.707136</v>
      </c>
    </row>
    <row r="21" spans="1:59">
      <c r="A21">
        <v>1</v>
      </c>
      <c r="B21">
        <v>9</v>
      </c>
      <c r="C21">
        <v>30</v>
      </c>
      <c r="D21">
        <v>45</v>
      </c>
      <c r="E21">
        <v>60</v>
      </c>
      <c r="F21">
        <v>1075</v>
      </c>
      <c r="G21">
        <v>790.797910536426</v>
      </c>
      <c r="H21">
        <v>1938.19026135196</v>
      </c>
      <c r="I21">
        <v>1344.343</v>
      </c>
      <c r="J21">
        <v>1178.996</v>
      </c>
      <c r="K21">
        <v>995.25</v>
      </c>
      <c r="L21">
        <v>1040.2</v>
      </c>
      <c r="M21">
        <v>1132.399</v>
      </c>
      <c r="N21">
        <v>1254.963</v>
      </c>
      <c r="P21">
        <f t="shared" si="4"/>
        <v>284.202089463574</v>
      </c>
      <c r="Q21">
        <f t="shared" si="5"/>
        <v>863.19026135196</v>
      </c>
      <c r="R21">
        <f t="shared" si="6"/>
        <v>269.343</v>
      </c>
      <c r="S21">
        <f t="shared" si="7"/>
        <v>103.996</v>
      </c>
      <c r="T21">
        <f t="shared" si="8"/>
        <v>79.75</v>
      </c>
      <c r="U21">
        <f t="shared" si="9"/>
        <v>34.8</v>
      </c>
      <c r="V21">
        <f t="shared" si="10"/>
        <v>57.3989999999999</v>
      </c>
      <c r="W21">
        <f t="shared" si="11"/>
        <v>179.963</v>
      </c>
      <c r="X21">
        <f t="shared" si="12"/>
        <v>3383.65</v>
      </c>
      <c r="Y21">
        <f t="shared" si="13"/>
        <v>80770.8276554615</v>
      </c>
      <c r="Z21">
        <f t="shared" si="14"/>
        <v>745097.427292864</v>
      </c>
      <c r="AA21">
        <f t="shared" si="15"/>
        <v>72545.651649</v>
      </c>
      <c r="AB21">
        <f t="shared" si="16"/>
        <v>10815.168016</v>
      </c>
      <c r="AC21">
        <f t="shared" si="17"/>
        <v>6360.0625</v>
      </c>
      <c r="AD21">
        <f t="shared" si="18"/>
        <v>1211.04</v>
      </c>
      <c r="AE21">
        <f t="shared" si="19"/>
        <v>3294.64520099999</v>
      </c>
      <c r="AF21">
        <f t="shared" si="20"/>
        <v>32386.681369</v>
      </c>
      <c r="AG21">
        <f t="shared" si="2"/>
        <v>11449087.3225</v>
      </c>
      <c r="AI21">
        <f t="shared" si="21"/>
        <v>49723681.7177091</v>
      </c>
      <c r="AJ21">
        <f t="shared" si="22"/>
        <v>34858511.8059986</v>
      </c>
      <c r="AK21">
        <f t="shared" si="23"/>
        <v>42223445.173849</v>
      </c>
      <c r="AL21">
        <f t="shared" si="24"/>
        <v>44399620.196416</v>
      </c>
      <c r="AM21">
        <f t="shared" si="25"/>
        <v>46882093.7025</v>
      </c>
      <c r="AN21">
        <f t="shared" si="26"/>
        <v>46268564.41</v>
      </c>
      <c r="AO21">
        <f t="shared" si="27"/>
        <v>45022771.429801</v>
      </c>
      <c r="AP21">
        <f t="shared" si="28"/>
        <v>43393008.751569</v>
      </c>
      <c r="BA21" s="2" t="s">
        <v>24</v>
      </c>
      <c r="BB21" s="2">
        <v>0.0597129031095764</v>
      </c>
      <c r="BC21" s="2">
        <v>0.606392775778018</v>
      </c>
      <c r="BD21" s="2">
        <v>4.19153832220266</v>
      </c>
      <c r="BE21" s="2">
        <v>2.02130925259339</v>
      </c>
      <c r="BF21" s="2">
        <v>3.58277418657458</v>
      </c>
      <c r="BG21" s="2">
        <v>423.518081049262</v>
      </c>
    </row>
    <row r="22" spans="1:59">
      <c r="A22">
        <v>1</v>
      </c>
      <c r="B22">
        <v>9</v>
      </c>
      <c r="C22">
        <v>35</v>
      </c>
      <c r="D22">
        <v>45</v>
      </c>
      <c r="E22">
        <v>60</v>
      </c>
      <c r="F22">
        <v>1220</v>
      </c>
      <c r="G22">
        <v>970.72560484446</v>
      </c>
      <c r="H22">
        <v>2052.67724768879</v>
      </c>
      <c r="I22">
        <v>1480.481</v>
      </c>
      <c r="J22">
        <v>1303.321</v>
      </c>
      <c r="K22">
        <v>1220</v>
      </c>
      <c r="L22">
        <v>1040.2</v>
      </c>
      <c r="M22">
        <v>1331.97</v>
      </c>
      <c r="N22">
        <v>1394.298</v>
      </c>
      <c r="P22">
        <f t="shared" si="4"/>
        <v>249.27439515554</v>
      </c>
      <c r="Q22">
        <f t="shared" si="5"/>
        <v>832.677247688794</v>
      </c>
      <c r="R22">
        <f t="shared" si="6"/>
        <v>260.481</v>
      </c>
      <c r="S22">
        <f t="shared" si="7"/>
        <v>83.3209999999999</v>
      </c>
      <c r="T22">
        <f t="shared" si="8"/>
        <v>0</v>
      </c>
      <c r="U22">
        <f t="shared" si="9"/>
        <v>179.8</v>
      </c>
      <c r="V22">
        <f t="shared" si="10"/>
        <v>111.97</v>
      </c>
      <c r="W22">
        <f t="shared" si="11"/>
        <v>174.298</v>
      </c>
      <c r="X22">
        <f t="shared" si="12"/>
        <v>3238.65</v>
      </c>
      <c r="Y22">
        <f t="shared" si="13"/>
        <v>62137.7240801605</v>
      </c>
      <c r="Z22">
        <f t="shared" si="14"/>
        <v>693351.398818585</v>
      </c>
      <c r="AA22">
        <f t="shared" si="15"/>
        <v>67850.351361</v>
      </c>
      <c r="AB22">
        <f t="shared" si="16"/>
        <v>6942.38904099999</v>
      </c>
      <c r="AC22">
        <f t="shared" si="17"/>
        <v>0</v>
      </c>
      <c r="AD22">
        <f t="shared" si="18"/>
        <v>32328.04</v>
      </c>
      <c r="AE22">
        <f t="shared" si="19"/>
        <v>12537.2809</v>
      </c>
      <c r="AF22">
        <f t="shared" si="20"/>
        <v>30379.792804</v>
      </c>
      <c r="AG22">
        <f t="shared" si="2"/>
        <v>10488853.8225</v>
      </c>
      <c r="AI22">
        <f t="shared" si="21"/>
        <v>45246803.0935621</v>
      </c>
      <c r="AJ22">
        <f t="shared" si="22"/>
        <v>31861766.0159093</v>
      </c>
      <c r="AK22">
        <f t="shared" si="23"/>
        <v>38648838.478761</v>
      </c>
      <c r="AL22">
        <f t="shared" si="24"/>
        <v>40882967.452441</v>
      </c>
      <c r="AM22">
        <f t="shared" si="25"/>
        <v>41955415.29</v>
      </c>
      <c r="AN22">
        <f t="shared" si="26"/>
        <v>44316980.41</v>
      </c>
      <c r="AO22">
        <f t="shared" si="27"/>
        <v>40517426.0089</v>
      </c>
      <c r="AP22">
        <f t="shared" si="28"/>
        <v>39727834.212004</v>
      </c>
      <c r="BA22" s="2" t="s">
        <v>25</v>
      </c>
      <c r="BB22" s="2">
        <v>1</v>
      </c>
      <c r="BC22" s="2">
        <v>18</v>
      </c>
      <c r="BD22" s="2">
        <v>60</v>
      </c>
      <c r="BE22" s="2">
        <v>45</v>
      </c>
      <c r="BF22" s="2">
        <v>60</v>
      </c>
      <c r="BG22" s="2">
        <v>3284</v>
      </c>
    </row>
    <row r="23" spans="1:59">
      <c r="A23">
        <v>1</v>
      </c>
      <c r="B23">
        <v>9</v>
      </c>
      <c r="C23">
        <v>50</v>
      </c>
      <c r="D23">
        <v>45</v>
      </c>
      <c r="E23">
        <v>60</v>
      </c>
      <c r="F23">
        <v>2140</v>
      </c>
      <c r="G23">
        <v>1510.50868776856</v>
      </c>
      <c r="H23">
        <v>2344.1780911551</v>
      </c>
      <c r="I23">
        <v>1888.894</v>
      </c>
      <c r="J23">
        <v>2316.65</v>
      </c>
      <c r="K23">
        <v>2235.333</v>
      </c>
      <c r="L23">
        <v>2218.2</v>
      </c>
      <c r="M23">
        <v>1985.853</v>
      </c>
      <c r="N23">
        <v>1856.846</v>
      </c>
      <c r="P23">
        <f t="shared" si="4"/>
        <v>629.491312231439</v>
      </c>
      <c r="Q23">
        <f t="shared" si="5"/>
        <v>204.178091155102</v>
      </c>
      <c r="R23">
        <f t="shared" si="6"/>
        <v>251.106</v>
      </c>
      <c r="S23">
        <f t="shared" si="7"/>
        <v>176.65</v>
      </c>
      <c r="T23">
        <f t="shared" si="8"/>
        <v>95.3330000000001</v>
      </c>
      <c r="U23">
        <f t="shared" si="9"/>
        <v>78.1999999999998</v>
      </c>
      <c r="V23">
        <f t="shared" si="10"/>
        <v>154.147</v>
      </c>
      <c r="W23">
        <f t="shared" si="11"/>
        <v>283.154</v>
      </c>
      <c r="X23">
        <f t="shared" si="12"/>
        <v>2318.65</v>
      </c>
      <c r="Y23">
        <f t="shared" si="13"/>
        <v>396259.312174859</v>
      </c>
      <c r="Z23">
        <f t="shared" si="14"/>
        <v>41688.6929077412</v>
      </c>
      <c r="AA23">
        <f t="shared" si="15"/>
        <v>63054.223236</v>
      </c>
      <c r="AB23">
        <f t="shared" si="16"/>
        <v>31205.2225</v>
      </c>
      <c r="AC23">
        <f t="shared" si="17"/>
        <v>9088.38088900002</v>
      </c>
      <c r="AD23">
        <f t="shared" si="18"/>
        <v>6115.23999999997</v>
      </c>
      <c r="AE23">
        <f t="shared" si="19"/>
        <v>23761.297609</v>
      </c>
      <c r="AF23">
        <f t="shared" si="20"/>
        <v>80176.187716</v>
      </c>
      <c r="AG23">
        <f t="shared" si="2"/>
        <v>5376137.8225</v>
      </c>
      <c r="AI23">
        <f t="shared" si="21"/>
        <v>27739090.7265966</v>
      </c>
      <c r="AJ23">
        <f t="shared" si="22"/>
        <v>19652569.8586806</v>
      </c>
      <c r="AK23">
        <f t="shared" si="23"/>
        <v>23896513.220836</v>
      </c>
      <c r="AL23">
        <f t="shared" si="24"/>
        <v>19897398.4225</v>
      </c>
      <c r="AM23">
        <f t="shared" si="25"/>
        <v>20629464.229089</v>
      </c>
      <c r="AN23">
        <f t="shared" si="26"/>
        <v>20785392.81</v>
      </c>
      <c r="AO23">
        <f t="shared" si="27"/>
        <v>22957964.353809</v>
      </c>
      <c r="AP23">
        <f t="shared" si="28"/>
        <v>24210867.566116</v>
      </c>
      <c r="BA23" s="2" t="s">
        <v>26</v>
      </c>
      <c r="BB23" s="2">
        <v>1</v>
      </c>
      <c r="BC23" s="2">
        <v>18</v>
      </c>
      <c r="BD23" s="2">
        <v>5</v>
      </c>
      <c r="BE23" s="2">
        <v>45</v>
      </c>
      <c r="BF23" s="2">
        <v>60</v>
      </c>
      <c r="BG23" s="2">
        <v>932</v>
      </c>
    </row>
    <row r="24" spans="1:42">
      <c r="A24">
        <v>1</v>
      </c>
      <c r="B24">
        <v>9</v>
      </c>
      <c r="C24">
        <v>55</v>
      </c>
      <c r="D24">
        <v>45</v>
      </c>
      <c r="E24">
        <v>60</v>
      </c>
      <c r="F24">
        <v>2156</v>
      </c>
      <c r="G24">
        <v>1690.43638207659</v>
      </c>
      <c r="H24">
        <v>2428.85216553338</v>
      </c>
      <c r="I24">
        <v>2025.032</v>
      </c>
      <c r="J24">
        <v>2288.469</v>
      </c>
      <c r="K24">
        <v>2235.333</v>
      </c>
      <c r="L24">
        <v>2218.2</v>
      </c>
      <c r="M24">
        <v>2116.529</v>
      </c>
      <c r="N24">
        <v>2017.562</v>
      </c>
      <c r="P24">
        <f t="shared" si="4"/>
        <v>465.563617923405</v>
      </c>
      <c r="Q24">
        <f t="shared" si="5"/>
        <v>272.852165533378</v>
      </c>
      <c r="R24">
        <f t="shared" si="6"/>
        <v>130.968</v>
      </c>
      <c r="S24">
        <f t="shared" si="7"/>
        <v>132.469</v>
      </c>
      <c r="T24">
        <f t="shared" si="8"/>
        <v>79.3330000000001</v>
      </c>
      <c r="U24">
        <f t="shared" si="9"/>
        <v>62.1999999999998</v>
      </c>
      <c r="V24">
        <f t="shared" si="10"/>
        <v>39.471</v>
      </c>
      <c r="W24">
        <f t="shared" si="11"/>
        <v>138.438</v>
      </c>
      <c r="X24">
        <f t="shared" si="12"/>
        <v>2302.65</v>
      </c>
      <c r="Y24">
        <f t="shared" si="13"/>
        <v>216749.48233393</v>
      </c>
      <c r="Z24">
        <f t="shared" si="14"/>
        <v>74448.3042362536</v>
      </c>
      <c r="AA24">
        <f t="shared" si="15"/>
        <v>17152.617024</v>
      </c>
      <c r="AB24">
        <f t="shared" si="16"/>
        <v>17548.035961</v>
      </c>
      <c r="AC24">
        <f t="shared" si="17"/>
        <v>6293.72488900001</v>
      </c>
      <c r="AD24">
        <f t="shared" si="18"/>
        <v>3868.83999999998</v>
      </c>
      <c r="AE24">
        <f t="shared" si="19"/>
        <v>1557.959841</v>
      </c>
      <c r="AF24">
        <f t="shared" si="20"/>
        <v>19165.079844</v>
      </c>
      <c r="AG24">
        <f t="shared" si="2"/>
        <v>5302197.0225</v>
      </c>
      <c r="AI24">
        <f t="shared" si="21"/>
        <v>25713657.8315792</v>
      </c>
      <c r="AJ24">
        <f t="shared" si="22"/>
        <v>18770104.2383745</v>
      </c>
      <c r="AK24">
        <f t="shared" si="23"/>
        <v>22432234.567824</v>
      </c>
      <c r="AL24">
        <f t="shared" si="24"/>
        <v>20006217.154561</v>
      </c>
      <c r="AM24">
        <f t="shared" si="25"/>
        <v>20484377.285089</v>
      </c>
      <c r="AN24">
        <f t="shared" si="26"/>
        <v>20639757.61</v>
      </c>
      <c r="AO24">
        <f t="shared" si="27"/>
        <v>21573897.642441</v>
      </c>
      <c r="AP24">
        <f t="shared" si="28"/>
        <v>22503050.212644</v>
      </c>
    </row>
    <row r="25" spans="1:59">
      <c r="A25">
        <v>1</v>
      </c>
      <c r="B25">
        <v>9</v>
      </c>
      <c r="C25">
        <v>60</v>
      </c>
      <c r="D25">
        <v>45</v>
      </c>
      <c r="E25">
        <v>60</v>
      </c>
      <c r="F25">
        <v>2210</v>
      </c>
      <c r="G25">
        <v>1870.36407638463</v>
      </c>
      <c r="H25">
        <v>2508.8214090647</v>
      </c>
      <c r="I25">
        <v>2161.169</v>
      </c>
      <c r="J25">
        <v>2236.127</v>
      </c>
      <c r="K25">
        <v>2235.333</v>
      </c>
      <c r="L25">
        <v>2218.2</v>
      </c>
      <c r="M25">
        <v>2202.47</v>
      </c>
      <c r="N25">
        <v>2177.579</v>
      </c>
      <c r="P25">
        <f t="shared" si="4"/>
        <v>339.635923615371</v>
      </c>
      <c r="Q25">
        <f t="shared" si="5"/>
        <v>298.821409064702</v>
      </c>
      <c r="R25">
        <f t="shared" si="6"/>
        <v>48.8310000000001</v>
      </c>
      <c r="S25">
        <f t="shared" si="7"/>
        <v>26.127</v>
      </c>
      <c r="T25">
        <f t="shared" si="8"/>
        <v>25.3330000000001</v>
      </c>
      <c r="U25">
        <f t="shared" si="9"/>
        <v>8.19999999999982</v>
      </c>
      <c r="V25">
        <f t="shared" si="10"/>
        <v>7.5300000000002</v>
      </c>
      <c r="W25">
        <f t="shared" si="11"/>
        <v>32.4209999999998</v>
      </c>
      <c r="X25">
        <f t="shared" si="12"/>
        <v>2248.65</v>
      </c>
      <c r="Y25">
        <f t="shared" si="13"/>
        <v>115352.560610066</v>
      </c>
      <c r="Z25">
        <f t="shared" si="14"/>
        <v>89294.2345154137</v>
      </c>
      <c r="AA25">
        <f t="shared" si="15"/>
        <v>2384.46656100001</v>
      </c>
      <c r="AB25">
        <f t="shared" si="16"/>
        <v>682.620128999998</v>
      </c>
      <c r="AC25">
        <f t="shared" si="17"/>
        <v>641.760889000004</v>
      </c>
      <c r="AD25">
        <f t="shared" si="18"/>
        <v>67.239999999997</v>
      </c>
      <c r="AE25">
        <f t="shared" si="19"/>
        <v>56.700900000003</v>
      </c>
      <c r="AF25">
        <f t="shared" si="20"/>
        <v>1051.12124099999</v>
      </c>
      <c r="AG25">
        <f t="shared" si="2"/>
        <v>5056426.8225</v>
      </c>
      <c r="AI25">
        <f t="shared" si="21"/>
        <v>23395949.1291609</v>
      </c>
      <c r="AJ25">
        <f t="shared" si="22"/>
        <v>17627222.478542</v>
      </c>
      <c r="AK25">
        <f t="shared" si="23"/>
        <v>20667307.069161</v>
      </c>
      <c r="AL25">
        <f t="shared" si="24"/>
        <v>19991387.995929</v>
      </c>
      <c r="AM25">
        <f t="shared" si="25"/>
        <v>19998488.849089</v>
      </c>
      <c r="AN25">
        <f t="shared" si="26"/>
        <v>20152018.81</v>
      </c>
      <c r="AO25">
        <f t="shared" si="27"/>
        <v>20293493.3289</v>
      </c>
      <c r="AP25">
        <f t="shared" si="28"/>
        <v>20518372.337841</v>
      </c>
      <c r="BA25" s="2" t="s">
        <v>27</v>
      </c>
      <c r="BB25" s="2">
        <v>0.199675324675325</v>
      </c>
      <c r="BC25" s="2">
        <v>20.5918831168831</v>
      </c>
      <c r="BD25" s="2">
        <v>983.863636363636</v>
      </c>
      <c r="BE25" s="2">
        <v>228.798701298701</v>
      </c>
      <c r="BF25" s="2">
        <v>718.831168831168</v>
      </c>
      <c r="BG25" s="2">
        <v>10044583.6386364</v>
      </c>
    </row>
    <row r="26" spans="1:42">
      <c r="A26">
        <v>1</v>
      </c>
      <c r="B26">
        <v>9</v>
      </c>
      <c r="C26">
        <v>65</v>
      </c>
      <c r="D26">
        <v>45</v>
      </c>
      <c r="E26">
        <v>60</v>
      </c>
      <c r="F26">
        <v>2275</v>
      </c>
      <c r="G26">
        <v>2050.29177069266</v>
      </c>
      <c r="H26">
        <v>2584.70905642568</v>
      </c>
      <c r="I26">
        <v>2297.307</v>
      </c>
      <c r="J26">
        <v>2286.191</v>
      </c>
      <c r="K26">
        <v>2235.333</v>
      </c>
      <c r="L26">
        <v>2218.2</v>
      </c>
      <c r="M26">
        <v>2279.573</v>
      </c>
      <c r="N26">
        <v>2334.754</v>
      </c>
      <c r="P26">
        <f t="shared" si="4"/>
        <v>224.708229307338</v>
      </c>
      <c r="Q26">
        <f t="shared" si="5"/>
        <v>309.709056425679</v>
      </c>
      <c r="R26">
        <f t="shared" si="6"/>
        <v>22.3069999999998</v>
      </c>
      <c r="S26">
        <f t="shared" si="7"/>
        <v>11.1909999999998</v>
      </c>
      <c r="T26">
        <f t="shared" si="8"/>
        <v>39.6669999999999</v>
      </c>
      <c r="U26">
        <f t="shared" si="9"/>
        <v>56.8000000000002</v>
      </c>
      <c r="V26">
        <f t="shared" si="10"/>
        <v>4.57299999999987</v>
      </c>
      <c r="W26">
        <f t="shared" si="11"/>
        <v>59.7539999999999</v>
      </c>
      <c r="X26">
        <f t="shared" si="12"/>
        <v>2183.65</v>
      </c>
      <c r="Y26">
        <f t="shared" si="13"/>
        <v>50493.7883184392</v>
      </c>
      <c r="Z26">
        <f t="shared" si="14"/>
        <v>95919.6996320842</v>
      </c>
      <c r="AA26">
        <f t="shared" si="15"/>
        <v>497.602248999991</v>
      </c>
      <c r="AB26">
        <f t="shared" si="16"/>
        <v>125.238480999996</v>
      </c>
      <c r="AC26">
        <f t="shared" si="17"/>
        <v>1573.47088899999</v>
      </c>
      <c r="AD26">
        <f t="shared" si="18"/>
        <v>3226.24000000002</v>
      </c>
      <c r="AE26">
        <f t="shared" si="19"/>
        <v>20.9123289999988</v>
      </c>
      <c r="AF26">
        <f t="shared" si="20"/>
        <v>3570.54051599999</v>
      </c>
      <c r="AG26">
        <f t="shared" si="2"/>
        <v>4768327.3225</v>
      </c>
      <c r="AI26">
        <f t="shared" si="21"/>
        <v>21086539.5780263</v>
      </c>
      <c r="AJ26">
        <f t="shared" si="22"/>
        <v>16464044.2653763</v>
      </c>
      <c r="AK26">
        <f t="shared" si="23"/>
        <v>18878964.170049</v>
      </c>
      <c r="AL26">
        <f t="shared" si="24"/>
        <v>18975685.619881</v>
      </c>
      <c r="AM26">
        <f t="shared" si="25"/>
        <v>19421358.139089</v>
      </c>
      <c r="AN26">
        <f t="shared" si="26"/>
        <v>19572660.81</v>
      </c>
      <c r="AO26">
        <f t="shared" si="27"/>
        <v>19033386.876529</v>
      </c>
      <c r="AP26">
        <f t="shared" si="28"/>
        <v>18554952.542116</v>
      </c>
    </row>
    <row r="27" spans="1:42">
      <c r="A27">
        <v>1</v>
      </c>
      <c r="B27">
        <v>9</v>
      </c>
      <c r="C27">
        <v>70</v>
      </c>
      <c r="D27">
        <v>45</v>
      </c>
      <c r="E27">
        <v>60</v>
      </c>
      <c r="F27">
        <v>2310</v>
      </c>
      <c r="G27">
        <v>2230.2194650007</v>
      </c>
      <c r="H27">
        <v>2657.01501425844</v>
      </c>
      <c r="I27">
        <v>2433.445</v>
      </c>
      <c r="J27">
        <v>2317.106</v>
      </c>
      <c r="K27">
        <v>2235.333</v>
      </c>
      <c r="L27">
        <v>2218.2</v>
      </c>
      <c r="M27">
        <v>2387.259</v>
      </c>
      <c r="N27">
        <v>2487.17</v>
      </c>
      <c r="P27">
        <f t="shared" si="4"/>
        <v>79.7805349993041</v>
      </c>
      <c r="Q27">
        <f t="shared" si="5"/>
        <v>347.015014258443</v>
      </c>
      <c r="R27">
        <f t="shared" si="6"/>
        <v>123.445</v>
      </c>
      <c r="S27">
        <f t="shared" si="7"/>
        <v>7.10600000000022</v>
      </c>
      <c r="T27">
        <f t="shared" si="8"/>
        <v>74.6669999999999</v>
      </c>
      <c r="U27">
        <f t="shared" si="9"/>
        <v>91.8000000000002</v>
      </c>
      <c r="V27">
        <f t="shared" si="10"/>
        <v>77.259</v>
      </c>
      <c r="W27">
        <f t="shared" si="11"/>
        <v>177.17</v>
      </c>
      <c r="X27">
        <f t="shared" si="12"/>
        <v>2148.65</v>
      </c>
      <c r="Y27">
        <f t="shared" si="13"/>
        <v>6364.93376477519</v>
      </c>
      <c r="Z27">
        <f t="shared" si="14"/>
        <v>120419.420120788</v>
      </c>
      <c r="AA27">
        <f t="shared" si="15"/>
        <v>15238.668025</v>
      </c>
      <c r="AB27">
        <f t="shared" si="16"/>
        <v>50.4952360000032</v>
      </c>
      <c r="AC27">
        <f t="shared" si="17"/>
        <v>5575.16088899999</v>
      </c>
      <c r="AD27">
        <f t="shared" si="18"/>
        <v>8427.24000000003</v>
      </c>
      <c r="AE27">
        <f t="shared" si="19"/>
        <v>5968.953081</v>
      </c>
      <c r="AF27">
        <f t="shared" si="20"/>
        <v>31389.2089</v>
      </c>
      <c r="AG27">
        <f t="shared" si="2"/>
        <v>4616696.8225</v>
      </c>
      <c r="AI27">
        <f t="shared" si="21"/>
        <v>19158834.0098698</v>
      </c>
      <c r="AJ27">
        <f t="shared" si="22"/>
        <v>15604751.4685752</v>
      </c>
      <c r="AK27">
        <f t="shared" si="23"/>
        <v>17421065.561025</v>
      </c>
      <c r="AL27">
        <f t="shared" si="24"/>
        <v>18405764.557636</v>
      </c>
      <c r="AM27">
        <f t="shared" si="25"/>
        <v>19114095.449089</v>
      </c>
      <c r="AN27">
        <f t="shared" si="26"/>
        <v>19264198.81</v>
      </c>
      <c r="AO27">
        <f t="shared" si="27"/>
        <v>17808746.041681</v>
      </c>
      <c r="AP27">
        <f t="shared" si="28"/>
        <v>16975471.2169</v>
      </c>
    </row>
    <row r="28" spans="1:59">
      <c r="A28">
        <v>1</v>
      </c>
      <c r="B28">
        <v>9</v>
      </c>
      <c r="C28">
        <v>75</v>
      </c>
      <c r="D28">
        <v>45</v>
      </c>
      <c r="E28">
        <v>60</v>
      </c>
      <c r="F28">
        <v>2321</v>
      </c>
      <c r="G28">
        <v>2410.14715930873</v>
      </c>
      <c r="H28">
        <v>2726.14721118436</v>
      </c>
      <c r="I28">
        <v>2569.582</v>
      </c>
      <c r="J28">
        <v>2510.493</v>
      </c>
      <c r="K28">
        <v>2235.333</v>
      </c>
      <c r="L28">
        <v>3040.667</v>
      </c>
      <c r="M28">
        <v>2546.867</v>
      </c>
      <c r="N28">
        <v>2633.175</v>
      </c>
      <c r="P28">
        <f t="shared" si="4"/>
        <v>89.1471593087299</v>
      </c>
      <c r="Q28">
        <f t="shared" si="5"/>
        <v>405.147211184362</v>
      </c>
      <c r="R28">
        <f t="shared" si="6"/>
        <v>248.582</v>
      </c>
      <c r="S28">
        <f t="shared" si="7"/>
        <v>189.493</v>
      </c>
      <c r="T28">
        <f t="shared" si="8"/>
        <v>85.6669999999999</v>
      </c>
      <c r="U28">
        <f t="shared" si="9"/>
        <v>719.667</v>
      </c>
      <c r="V28">
        <f t="shared" si="10"/>
        <v>225.867</v>
      </c>
      <c r="W28">
        <f t="shared" si="11"/>
        <v>312.175</v>
      </c>
      <c r="X28">
        <f t="shared" si="12"/>
        <v>2137.65</v>
      </c>
      <c r="Y28">
        <f t="shared" si="13"/>
        <v>7947.21601281607</v>
      </c>
      <c r="Z28">
        <f t="shared" si="14"/>
        <v>164144.262730466</v>
      </c>
      <c r="AA28">
        <f t="shared" si="15"/>
        <v>61793.0107239999</v>
      </c>
      <c r="AB28">
        <f t="shared" si="16"/>
        <v>35907.597049</v>
      </c>
      <c r="AC28">
        <f t="shared" si="17"/>
        <v>7338.83488899999</v>
      </c>
      <c r="AD28">
        <f t="shared" si="18"/>
        <v>517920.590889</v>
      </c>
      <c r="AE28">
        <f t="shared" si="19"/>
        <v>51015.9016890001</v>
      </c>
      <c r="AF28">
        <f t="shared" si="20"/>
        <v>97453.2306250001</v>
      </c>
      <c r="AG28">
        <f t="shared" si="2"/>
        <v>4569547.5225</v>
      </c>
      <c r="AI28">
        <f t="shared" si="21"/>
        <v>17523875.6056276</v>
      </c>
      <c r="AJ28">
        <f t="shared" si="22"/>
        <v>14978082.6087775</v>
      </c>
      <c r="AK28">
        <f t="shared" si="23"/>
        <v>16214457.851524</v>
      </c>
      <c r="AL28">
        <f t="shared" si="24"/>
        <v>16693818.841249</v>
      </c>
      <c r="AM28">
        <f t="shared" si="25"/>
        <v>19018033.175089</v>
      </c>
      <c r="AN28">
        <f t="shared" si="26"/>
        <v>12642526.030689</v>
      </c>
      <c r="AO28">
        <f t="shared" si="27"/>
        <v>16397907.621489</v>
      </c>
      <c r="AP28">
        <f t="shared" si="28"/>
        <v>15706359.765625</v>
      </c>
      <c r="BA28" s="2" t="s">
        <v>28</v>
      </c>
      <c r="BB28" s="2">
        <v>1</v>
      </c>
      <c r="BC28" s="2">
        <v>9</v>
      </c>
      <c r="BD28" s="2">
        <v>100</v>
      </c>
      <c r="BE28" s="2">
        <v>30</v>
      </c>
      <c r="BF28" s="2">
        <v>60</v>
      </c>
      <c r="BG28" s="2">
        <v>9657</v>
      </c>
    </row>
    <row r="29" spans="1:42">
      <c r="A29">
        <v>1</v>
      </c>
      <c r="B29">
        <v>9</v>
      </c>
      <c r="C29">
        <v>80</v>
      </c>
      <c r="D29">
        <v>45</v>
      </c>
      <c r="E29">
        <v>60</v>
      </c>
      <c r="F29">
        <v>2776</v>
      </c>
      <c r="G29">
        <v>2590.07485361676</v>
      </c>
      <c r="H29">
        <v>2792.44344295117</v>
      </c>
      <c r="I29">
        <v>2705.72</v>
      </c>
      <c r="J29">
        <v>2806.341</v>
      </c>
      <c r="K29">
        <v>2776</v>
      </c>
      <c r="L29">
        <v>3040.667</v>
      </c>
      <c r="M29">
        <v>2750.059</v>
      </c>
      <c r="N29">
        <v>2771.405</v>
      </c>
      <c r="P29">
        <f t="shared" si="4"/>
        <v>185.925146383237</v>
      </c>
      <c r="Q29">
        <f t="shared" si="5"/>
        <v>16.4434429511712</v>
      </c>
      <c r="R29">
        <f t="shared" si="6"/>
        <v>70.2800000000002</v>
      </c>
      <c r="S29">
        <f t="shared" si="7"/>
        <v>30.3409999999999</v>
      </c>
      <c r="T29">
        <f t="shared" si="8"/>
        <v>0</v>
      </c>
      <c r="U29">
        <f t="shared" si="9"/>
        <v>264.667</v>
      </c>
      <c r="V29">
        <f t="shared" si="10"/>
        <v>25.9409999999998</v>
      </c>
      <c r="W29">
        <f t="shared" si="11"/>
        <v>4.5949999999998</v>
      </c>
      <c r="X29">
        <f t="shared" si="12"/>
        <v>1682.65</v>
      </c>
      <c r="Y29">
        <f t="shared" si="13"/>
        <v>34568.1600576281</v>
      </c>
      <c r="Z29">
        <f t="shared" si="14"/>
        <v>270.386816088421</v>
      </c>
      <c r="AA29">
        <f t="shared" si="15"/>
        <v>4939.27840000003</v>
      </c>
      <c r="AB29">
        <f t="shared" si="16"/>
        <v>920.576280999994</v>
      </c>
      <c r="AC29">
        <f t="shared" si="17"/>
        <v>0</v>
      </c>
      <c r="AD29">
        <f t="shared" si="18"/>
        <v>70048.620889</v>
      </c>
      <c r="AE29">
        <f t="shared" si="19"/>
        <v>672.93548099999</v>
      </c>
      <c r="AF29">
        <f t="shared" si="20"/>
        <v>21.1140249999982</v>
      </c>
      <c r="AG29">
        <f t="shared" si="2"/>
        <v>2831311.0225</v>
      </c>
      <c r="AI29">
        <f t="shared" si="21"/>
        <v>12611200.0403046</v>
      </c>
      <c r="AJ29">
        <f t="shared" si="22"/>
        <v>11214840.2396889</v>
      </c>
      <c r="AK29">
        <f t="shared" si="23"/>
        <v>11803209.9364</v>
      </c>
      <c r="AL29">
        <f t="shared" si="24"/>
        <v>11121951.531681</v>
      </c>
      <c r="AM29">
        <f t="shared" si="25"/>
        <v>11325244.09</v>
      </c>
      <c r="AN29">
        <f t="shared" si="26"/>
        <v>9613925.000689</v>
      </c>
      <c r="AO29">
        <f t="shared" si="27"/>
        <v>11500515.520081</v>
      </c>
      <c r="AP29">
        <f t="shared" si="28"/>
        <v>11356192.311025</v>
      </c>
    </row>
    <row r="30" spans="1:42">
      <c r="A30">
        <v>1</v>
      </c>
      <c r="B30">
        <v>9</v>
      </c>
      <c r="C30">
        <v>85</v>
      </c>
      <c r="D30">
        <v>45</v>
      </c>
      <c r="E30">
        <v>60</v>
      </c>
      <c r="F30">
        <v>3202</v>
      </c>
      <c r="G30">
        <v>2770.0025479248</v>
      </c>
      <c r="H30">
        <v>2856.18700309569</v>
      </c>
      <c r="I30">
        <v>2841.858</v>
      </c>
      <c r="J30">
        <v>3082.045</v>
      </c>
      <c r="K30">
        <v>3286.75</v>
      </c>
      <c r="L30">
        <v>3040.667</v>
      </c>
      <c r="M30">
        <v>2963.694</v>
      </c>
      <c r="N30">
        <v>2900.801</v>
      </c>
      <c r="P30">
        <f t="shared" si="4"/>
        <v>431.997452075202</v>
      </c>
      <c r="Q30">
        <f t="shared" si="5"/>
        <v>345.812996904306</v>
      </c>
      <c r="R30">
        <f t="shared" si="6"/>
        <v>360.142</v>
      </c>
      <c r="S30">
        <f t="shared" si="7"/>
        <v>119.955</v>
      </c>
      <c r="T30">
        <f t="shared" si="8"/>
        <v>84.75</v>
      </c>
      <c r="U30">
        <f t="shared" si="9"/>
        <v>161.333</v>
      </c>
      <c r="V30">
        <f t="shared" si="10"/>
        <v>238.306</v>
      </c>
      <c r="W30">
        <f t="shared" si="11"/>
        <v>301.199</v>
      </c>
      <c r="X30">
        <f t="shared" si="12"/>
        <v>1256.65</v>
      </c>
      <c r="Y30">
        <f t="shared" si="13"/>
        <v>186621.798599467</v>
      </c>
      <c r="Z30">
        <f t="shared" si="14"/>
        <v>119586.628827938</v>
      </c>
      <c r="AA30">
        <f t="shared" si="15"/>
        <v>129702.260164</v>
      </c>
      <c r="AB30">
        <f t="shared" si="16"/>
        <v>14389.202025</v>
      </c>
      <c r="AC30">
        <f t="shared" si="17"/>
        <v>7182.5625</v>
      </c>
      <c r="AD30">
        <f t="shared" si="18"/>
        <v>26028.336889</v>
      </c>
      <c r="AE30">
        <f t="shared" si="19"/>
        <v>56789.749636</v>
      </c>
      <c r="AF30">
        <f t="shared" si="20"/>
        <v>90720.837601</v>
      </c>
      <c r="AG30">
        <f t="shared" si="2"/>
        <v>1579169.2225</v>
      </c>
      <c r="AI30">
        <f t="shared" si="21"/>
        <v>8674777.08120067</v>
      </c>
      <c r="AJ30">
        <f t="shared" si="22"/>
        <v>8174527.12906712</v>
      </c>
      <c r="AK30">
        <f t="shared" si="23"/>
        <v>8256668.92736399</v>
      </c>
      <c r="AL30">
        <f t="shared" si="24"/>
        <v>6934031.895025</v>
      </c>
      <c r="AM30">
        <f t="shared" si="25"/>
        <v>5897855.1025</v>
      </c>
      <c r="AN30">
        <f t="shared" si="26"/>
        <v>7153661.684689</v>
      </c>
      <c r="AO30">
        <f t="shared" si="27"/>
        <v>7571335.579236</v>
      </c>
      <c r="AP30">
        <f t="shared" si="28"/>
        <v>7921404.621001</v>
      </c>
    </row>
    <row r="31" spans="1:59">
      <c r="A31">
        <v>1</v>
      </c>
      <c r="B31">
        <v>9</v>
      </c>
      <c r="C31">
        <v>100</v>
      </c>
      <c r="D31">
        <v>45</v>
      </c>
      <c r="E31">
        <v>60</v>
      </c>
      <c r="F31">
        <v>3288</v>
      </c>
      <c r="G31">
        <v>3309.7856308489</v>
      </c>
      <c r="H31">
        <v>3034.33790738792</v>
      </c>
      <c r="I31">
        <v>3250.271</v>
      </c>
      <c r="J31">
        <v>3233.86</v>
      </c>
      <c r="K31">
        <v>3286.75</v>
      </c>
      <c r="L31">
        <v>3040.667</v>
      </c>
      <c r="M31">
        <v>3334.438</v>
      </c>
      <c r="N31">
        <v>3229.991</v>
      </c>
      <c r="P31">
        <f t="shared" si="4"/>
        <v>21.785630848899</v>
      </c>
      <c r="Q31">
        <f t="shared" si="5"/>
        <v>253.662092612082</v>
      </c>
      <c r="R31">
        <f t="shared" si="6"/>
        <v>37.7289999999998</v>
      </c>
      <c r="S31">
        <f t="shared" si="7"/>
        <v>54.1399999999999</v>
      </c>
      <c r="T31">
        <f t="shared" si="8"/>
        <v>1.25</v>
      </c>
      <c r="U31">
        <f t="shared" si="9"/>
        <v>247.333</v>
      </c>
      <c r="V31">
        <f t="shared" si="10"/>
        <v>46.4380000000001</v>
      </c>
      <c r="W31">
        <f t="shared" si="11"/>
        <v>58.009</v>
      </c>
      <c r="X31">
        <f t="shared" si="12"/>
        <v>1170.65</v>
      </c>
      <c r="Y31">
        <f t="shared" si="13"/>
        <v>474.613711484501</v>
      </c>
      <c r="Z31">
        <f t="shared" si="14"/>
        <v>64344.4572283406</v>
      </c>
      <c r="AA31">
        <f t="shared" si="15"/>
        <v>1423.47744099999</v>
      </c>
      <c r="AB31">
        <f t="shared" si="16"/>
        <v>2931.13959999999</v>
      </c>
      <c r="AC31">
        <f t="shared" si="17"/>
        <v>1.5625</v>
      </c>
      <c r="AD31">
        <f t="shared" si="18"/>
        <v>61173.612889</v>
      </c>
      <c r="AE31">
        <f t="shared" si="19"/>
        <v>2156.48784400001</v>
      </c>
      <c r="AF31">
        <f t="shared" si="20"/>
        <v>3365.044081</v>
      </c>
      <c r="AG31">
        <f t="shared" si="2"/>
        <v>1370421.4225</v>
      </c>
      <c r="AI31">
        <f t="shared" si="21"/>
        <v>5380146.90869843</v>
      </c>
      <c r="AJ31">
        <f t="shared" si="22"/>
        <v>6733828.26209367</v>
      </c>
      <c r="AK31">
        <f t="shared" si="23"/>
        <v>5659778.982841</v>
      </c>
      <c r="AL31">
        <f t="shared" si="24"/>
        <v>5738132.7936</v>
      </c>
      <c r="AM31">
        <f t="shared" si="25"/>
        <v>5487540.5025</v>
      </c>
      <c r="AN31">
        <f t="shared" si="26"/>
        <v>6701020.808689</v>
      </c>
      <c r="AO31">
        <f t="shared" si="27"/>
        <v>5266391.599044</v>
      </c>
      <c r="AP31">
        <f t="shared" si="28"/>
        <v>5756683.677481</v>
      </c>
      <c r="BA31" s="2" t="s">
        <v>29</v>
      </c>
      <c r="BB31" s="2">
        <v>71</v>
      </c>
      <c r="BC31" s="2">
        <v>765</v>
      </c>
      <c r="BD31" s="2">
        <v>3010</v>
      </c>
      <c r="BE31" s="2">
        <v>1710</v>
      </c>
      <c r="BF31" s="2">
        <v>4260</v>
      </c>
      <c r="BG31" s="2">
        <v>238343</v>
      </c>
    </row>
    <row r="32" spans="1:59">
      <c r="A32">
        <v>1</v>
      </c>
      <c r="B32">
        <v>9</v>
      </c>
      <c r="C32">
        <v>105</v>
      </c>
      <c r="D32">
        <v>45</v>
      </c>
      <c r="E32">
        <v>60</v>
      </c>
      <c r="F32">
        <v>3334</v>
      </c>
      <c r="G32">
        <v>3489.71332515693</v>
      </c>
      <c r="H32">
        <v>3089.95894916261</v>
      </c>
      <c r="I32">
        <v>3386.408</v>
      </c>
      <c r="J32">
        <v>3291.645</v>
      </c>
      <c r="K32">
        <v>3286.75</v>
      </c>
      <c r="L32">
        <v>3040.667</v>
      </c>
      <c r="M32">
        <v>3346.102</v>
      </c>
      <c r="N32">
        <v>3319.506</v>
      </c>
      <c r="P32">
        <f t="shared" si="4"/>
        <v>155.713325156932</v>
      </c>
      <c r="Q32">
        <f t="shared" si="5"/>
        <v>244.04105083739</v>
      </c>
      <c r="R32">
        <f t="shared" si="6"/>
        <v>52.4079999999999</v>
      </c>
      <c r="S32">
        <f t="shared" si="7"/>
        <v>42.355</v>
      </c>
      <c r="T32">
        <f t="shared" si="8"/>
        <v>47.25</v>
      </c>
      <c r="U32">
        <f t="shared" si="9"/>
        <v>293.333</v>
      </c>
      <c r="V32">
        <f t="shared" si="10"/>
        <v>12.1019999999999</v>
      </c>
      <c r="W32">
        <f t="shared" si="11"/>
        <v>14.4940000000001</v>
      </c>
      <c r="X32">
        <f t="shared" si="12"/>
        <v>1124.65</v>
      </c>
      <c r="Y32">
        <f t="shared" si="13"/>
        <v>24246.6396314285</v>
      </c>
      <c r="Z32">
        <f t="shared" si="14"/>
        <v>59556.0344938177</v>
      </c>
      <c r="AA32">
        <f t="shared" si="15"/>
        <v>2746.59846399999</v>
      </c>
      <c r="AB32">
        <f t="shared" si="16"/>
        <v>1793.946025</v>
      </c>
      <c r="AC32">
        <f t="shared" si="17"/>
        <v>2232.5625</v>
      </c>
      <c r="AD32">
        <f t="shared" si="18"/>
        <v>86044.2488890001</v>
      </c>
      <c r="AE32">
        <f t="shared" si="19"/>
        <v>146.458403999997</v>
      </c>
      <c r="AF32">
        <f t="shared" si="20"/>
        <v>210.076036000004</v>
      </c>
      <c r="AG32">
        <f t="shared" si="2"/>
        <v>1264837.6225</v>
      </c>
      <c r="AI32">
        <f t="shared" si="21"/>
        <v>4383105.16508045</v>
      </c>
      <c r="AJ32">
        <f t="shared" si="22"/>
        <v>6216749.5957909</v>
      </c>
      <c r="AK32">
        <f t="shared" si="23"/>
        <v>4826334.459664</v>
      </c>
      <c r="AL32">
        <f t="shared" si="24"/>
        <v>5251682.639025</v>
      </c>
      <c r="AM32">
        <f t="shared" si="25"/>
        <v>5274141.9025</v>
      </c>
      <c r="AN32">
        <f t="shared" si="26"/>
        <v>6464982.572689</v>
      </c>
      <c r="AO32">
        <f t="shared" si="27"/>
        <v>5005054.891204</v>
      </c>
      <c r="AP32">
        <f t="shared" si="28"/>
        <v>5124763.274436</v>
      </c>
      <c r="BA32" s="2" t="s">
        <v>23</v>
      </c>
      <c r="BB32" s="2">
        <v>56</v>
      </c>
      <c r="BC32" s="2">
        <v>56</v>
      </c>
      <c r="BD32" s="2">
        <v>56</v>
      </c>
      <c r="BE32" s="2">
        <v>56</v>
      </c>
      <c r="BF32" s="2">
        <v>56</v>
      </c>
      <c r="BG32" s="2">
        <v>56</v>
      </c>
    </row>
    <row r="33" spans="1:42">
      <c r="A33">
        <v>1</v>
      </c>
      <c r="B33">
        <v>9</v>
      </c>
      <c r="C33">
        <v>110</v>
      </c>
      <c r="D33">
        <v>45</v>
      </c>
      <c r="E33">
        <v>60</v>
      </c>
      <c r="F33">
        <v>3323</v>
      </c>
      <c r="G33">
        <v>3669.64101946497</v>
      </c>
      <c r="H33">
        <v>3143.94124965462</v>
      </c>
      <c r="I33">
        <v>3522.546</v>
      </c>
      <c r="J33">
        <v>3343.47</v>
      </c>
      <c r="K33">
        <v>3286.75</v>
      </c>
      <c r="L33">
        <v>3040.667</v>
      </c>
      <c r="M33">
        <v>3332.756</v>
      </c>
      <c r="N33">
        <v>3399.284</v>
      </c>
      <c r="P33">
        <f t="shared" si="4"/>
        <v>346.641019464967</v>
      </c>
      <c r="Q33">
        <f t="shared" si="5"/>
        <v>179.058750345377</v>
      </c>
      <c r="R33">
        <f t="shared" si="6"/>
        <v>199.546</v>
      </c>
      <c r="S33">
        <f t="shared" si="7"/>
        <v>20.4699999999998</v>
      </c>
      <c r="T33">
        <f t="shared" si="8"/>
        <v>36.25</v>
      </c>
      <c r="U33">
        <f t="shared" si="9"/>
        <v>282.333</v>
      </c>
      <c r="V33">
        <f t="shared" si="10"/>
        <v>9.75599999999986</v>
      </c>
      <c r="W33">
        <f t="shared" si="11"/>
        <v>76.2840000000001</v>
      </c>
      <c r="X33">
        <f t="shared" si="12"/>
        <v>1135.65</v>
      </c>
      <c r="Y33">
        <f t="shared" si="13"/>
        <v>120159.996375712</v>
      </c>
      <c r="Z33">
        <f t="shared" si="14"/>
        <v>32062.0360752479</v>
      </c>
      <c r="AA33">
        <f t="shared" si="15"/>
        <v>39818.6061159999</v>
      </c>
      <c r="AB33">
        <f t="shared" si="16"/>
        <v>419.020899999992</v>
      </c>
      <c r="AC33">
        <f t="shared" si="17"/>
        <v>1314.0625</v>
      </c>
      <c r="AD33">
        <f t="shared" si="18"/>
        <v>79711.9228890001</v>
      </c>
      <c r="AE33">
        <f t="shared" si="19"/>
        <v>95.1795359999972</v>
      </c>
      <c r="AF33">
        <f t="shared" si="20"/>
        <v>5819.24865600002</v>
      </c>
      <c r="AG33">
        <f t="shared" si="2"/>
        <v>1289700.9225</v>
      </c>
      <c r="AI33">
        <f t="shared" si="21"/>
        <v>3704312.19135415</v>
      </c>
      <c r="AJ33">
        <f t="shared" si="22"/>
        <v>6004258.00539415</v>
      </c>
      <c r="AK33">
        <f t="shared" si="23"/>
        <v>4292164.636516</v>
      </c>
      <c r="AL33">
        <f t="shared" si="24"/>
        <v>5066235.6889</v>
      </c>
      <c r="AM33">
        <f t="shared" si="25"/>
        <v>5324787.0025</v>
      </c>
      <c r="AN33">
        <f t="shared" si="26"/>
        <v>6521041.498689</v>
      </c>
      <c r="AO33">
        <f t="shared" si="27"/>
        <v>5114581.263936</v>
      </c>
      <c r="AP33">
        <f t="shared" si="28"/>
        <v>4818095.240256</v>
      </c>
    </row>
    <row r="34" spans="1:42">
      <c r="A34">
        <v>1</v>
      </c>
      <c r="B34">
        <v>18</v>
      </c>
      <c r="C34">
        <v>10</v>
      </c>
      <c r="D34">
        <v>15</v>
      </c>
      <c r="E34">
        <v>60</v>
      </c>
      <c r="F34">
        <v>4205</v>
      </c>
      <c r="G34">
        <v>6238.91673912344</v>
      </c>
      <c r="H34">
        <v>4546.06496479233</v>
      </c>
      <c r="I34">
        <v>5829.252</v>
      </c>
      <c r="J34">
        <v>4508.063</v>
      </c>
      <c r="K34">
        <v>4205</v>
      </c>
      <c r="L34">
        <v>5040.2</v>
      </c>
      <c r="M34">
        <v>4299.03</v>
      </c>
      <c r="N34">
        <v>4615.366</v>
      </c>
      <c r="P34">
        <f t="shared" si="4"/>
        <v>2033.91673912344</v>
      </c>
      <c r="Q34">
        <f t="shared" si="5"/>
        <v>341.064964792326</v>
      </c>
      <c r="R34">
        <f t="shared" si="6"/>
        <v>1624.252</v>
      </c>
      <c r="S34">
        <f t="shared" si="7"/>
        <v>303.063</v>
      </c>
      <c r="T34">
        <f t="shared" si="8"/>
        <v>0</v>
      </c>
      <c r="U34">
        <f t="shared" si="9"/>
        <v>835.2</v>
      </c>
      <c r="V34">
        <f t="shared" si="10"/>
        <v>94.0299999999997</v>
      </c>
      <c r="W34">
        <f t="shared" si="11"/>
        <v>410.366</v>
      </c>
      <c r="X34">
        <f t="shared" si="12"/>
        <v>253.65</v>
      </c>
      <c r="Y34">
        <f t="shared" si="13"/>
        <v>4136817.30168651</v>
      </c>
      <c r="Z34">
        <f t="shared" si="14"/>
        <v>116325.310208791</v>
      </c>
      <c r="AA34">
        <f t="shared" si="15"/>
        <v>2638194.559504</v>
      </c>
      <c r="AB34">
        <f t="shared" si="16"/>
        <v>91847.1819690001</v>
      </c>
      <c r="AC34">
        <f t="shared" si="17"/>
        <v>0</v>
      </c>
      <c r="AD34">
        <f t="shared" si="18"/>
        <v>697559.04</v>
      </c>
      <c r="AE34">
        <f t="shared" si="19"/>
        <v>8841.64089999995</v>
      </c>
      <c r="AF34">
        <f t="shared" si="20"/>
        <v>168400.253956</v>
      </c>
      <c r="AG34">
        <f t="shared" si="2"/>
        <v>64338.3224999998</v>
      </c>
      <c r="AI34">
        <f t="shared" si="21"/>
        <v>4136817.30168651</v>
      </c>
      <c r="AJ34">
        <f t="shared" si="22"/>
        <v>116325.310208791</v>
      </c>
      <c r="AK34">
        <f t="shared" si="23"/>
        <v>2638194.559504</v>
      </c>
      <c r="AL34">
        <f t="shared" si="24"/>
        <v>91847.1819690001</v>
      </c>
      <c r="AM34">
        <f t="shared" si="25"/>
        <v>257353.289999999</v>
      </c>
      <c r="AN34">
        <f t="shared" si="26"/>
        <v>697559.04</v>
      </c>
      <c r="AO34">
        <f t="shared" si="27"/>
        <v>170792.0929</v>
      </c>
      <c r="AP34">
        <f t="shared" si="28"/>
        <v>168400.253956</v>
      </c>
    </row>
    <row r="35" spans="1:42">
      <c r="A35">
        <v>1</v>
      </c>
      <c r="B35">
        <v>18</v>
      </c>
      <c r="C35">
        <v>15</v>
      </c>
      <c r="D35">
        <v>15</v>
      </c>
      <c r="E35">
        <v>60</v>
      </c>
      <c r="F35">
        <v>5201</v>
      </c>
      <c r="G35">
        <v>6418.84443343147</v>
      </c>
      <c r="H35">
        <v>5286.81774323926</v>
      </c>
      <c r="I35">
        <v>6163.577</v>
      </c>
      <c r="J35">
        <v>5118.38</v>
      </c>
      <c r="K35">
        <v>5201</v>
      </c>
      <c r="L35">
        <v>5040.2</v>
      </c>
      <c r="M35">
        <v>5079.277</v>
      </c>
      <c r="N35">
        <v>5350.172</v>
      </c>
      <c r="P35">
        <f t="shared" si="4"/>
        <v>1217.84443343147</v>
      </c>
      <c r="Q35">
        <f t="shared" si="5"/>
        <v>85.8177432392595</v>
      </c>
      <c r="R35">
        <f t="shared" si="6"/>
        <v>962.577</v>
      </c>
      <c r="S35">
        <f t="shared" si="7"/>
        <v>82.6199999999999</v>
      </c>
      <c r="T35">
        <f t="shared" si="8"/>
        <v>0</v>
      </c>
      <c r="U35">
        <f t="shared" si="9"/>
        <v>160.8</v>
      </c>
      <c r="V35">
        <f t="shared" si="10"/>
        <v>121.723</v>
      </c>
      <c r="W35">
        <f t="shared" si="11"/>
        <v>149.172</v>
      </c>
      <c r="X35">
        <f t="shared" si="12"/>
        <v>742.35</v>
      </c>
      <c r="Y35">
        <f t="shared" si="13"/>
        <v>1483145.06404002</v>
      </c>
      <c r="Z35">
        <f t="shared" si="14"/>
        <v>7364.68505467946</v>
      </c>
      <c r="AA35">
        <f t="shared" si="15"/>
        <v>926554.480929</v>
      </c>
      <c r="AB35">
        <f t="shared" si="16"/>
        <v>6826.06439999998</v>
      </c>
      <c r="AC35">
        <f t="shared" si="17"/>
        <v>0</v>
      </c>
      <c r="AD35">
        <f t="shared" si="18"/>
        <v>25856.6400000001</v>
      </c>
      <c r="AE35">
        <f t="shared" si="19"/>
        <v>14816.488729</v>
      </c>
      <c r="AF35">
        <f t="shared" si="20"/>
        <v>22252.2855839999</v>
      </c>
      <c r="AG35">
        <f t="shared" si="2"/>
        <v>551083.522500001</v>
      </c>
      <c r="AI35">
        <f t="shared" si="21"/>
        <v>7303746.41467143</v>
      </c>
      <c r="AJ35">
        <f t="shared" si="22"/>
        <v>2466525.98182934</v>
      </c>
      <c r="AK35">
        <f t="shared" si="23"/>
        <v>5989164.714729</v>
      </c>
      <c r="AL35">
        <f t="shared" si="24"/>
        <v>1965828.3264</v>
      </c>
      <c r="AM35">
        <f t="shared" si="25"/>
        <v>2204334.09</v>
      </c>
      <c r="AN35">
        <f t="shared" si="26"/>
        <v>1752711.21</v>
      </c>
      <c r="AO35">
        <f t="shared" si="27"/>
        <v>1857706.302529</v>
      </c>
      <c r="AP35">
        <f t="shared" si="28"/>
        <v>2669537.712384</v>
      </c>
    </row>
    <row r="36" spans="1:42">
      <c r="A36">
        <v>1</v>
      </c>
      <c r="B36">
        <v>18</v>
      </c>
      <c r="C36">
        <v>20</v>
      </c>
      <c r="D36">
        <v>15</v>
      </c>
      <c r="E36">
        <v>60</v>
      </c>
      <c r="F36">
        <v>5789</v>
      </c>
      <c r="G36">
        <v>6598.7721277395</v>
      </c>
      <c r="H36">
        <v>5884.49201200421</v>
      </c>
      <c r="I36">
        <v>6497.902</v>
      </c>
      <c r="J36">
        <v>5770.23</v>
      </c>
      <c r="K36">
        <v>5789</v>
      </c>
      <c r="L36">
        <v>5040.2</v>
      </c>
      <c r="M36">
        <v>5941.744</v>
      </c>
      <c r="N36">
        <v>6049.757</v>
      </c>
      <c r="P36">
        <f t="shared" si="4"/>
        <v>809.772127739505</v>
      </c>
      <c r="Q36">
        <f t="shared" si="5"/>
        <v>95.492012004207</v>
      </c>
      <c r="R36">
        <f t="shared" si="6"/>
        <v>708.902</v>
      </c>
      <c r="S36">
        <f t="shared" si="7"/>
        <v>18.7700000000004</v>
      </c>
      <c r="T36">
        <f t="shared" si="8"/>
        <v>0</v>
      </c>
      <c r="U36">
        <f t="shared" si="9"/>
        <v>748.8</v>
      </c>
      <c r="V36">
        <f t="shared" si="10"/>
        <v>152.744</v>
      </c>
      <c r="W36">
        <f t="shared" si="11"/>
        <v>260.757</v>
      </c>
      <c r="X36">
        <f t="shared" si="12"/>
        <v>1330.35</v>
      </c>
      <c r="Y36">
        <f t="shared" si="13"/>
        <v>655730.898863765</v>
      </c>
      <c r="Z36">
        <f t="shared" si="14"/>
        <v>9118.72435661162</v>
      </c>
      <c r="AA36">
        <f t="shared" si="15"/>
        <v>502542.045604</v>
      </c>
      <c r="AB36">
        <f t="shared" si="16"/>
        <v>352.312900000016</v>
      </c>
      <c r="AC36">
        <f t="shared" si="17"/>
        <v>0</v>
      </c>
      <c r="AD36">
        <f t="shared" si="18"/>
        <v>560701.44</v>
      </c>
      <c r="AE36">
        <f t="shared" si="19"/>
        <v>23330.7295359999</v>
      </c>
      <c r="AF36">
        <f t="shared" si="20"/>
        <v>67994.2130489998</v>
      </c>
      <c r="AG36">
        <f t="shared" si="2"/>
        <v>1769831.1225</v>
      </c>
      <c r="AI36">
        <f t="shared" si="21"/>
        <v>12044176.7894168</v>
      </c>
      <c r="AJ36">
        <f t="shared" si="22"/>
        <v>7596594.4070358</v>
      </c>
      <c r="AK36">
        <f t="shared" si="23"/>
        <v>11354217.638404</v>
      </c>
      <c r="AL36">
        <f t="shared" si="24"/>
        <v>6979794.1249</v>
      </c>
      <c r="AM36">
        <f t="shared" si="25"/>
        <v>7079324.49</v>
      </c>
      <c r="AN36">
        <f t="shared" si="26"/>
        <v>3655361.61</v>
      </c>
      <c r="AO36">
        <f t="shared" si="27"/>
        <v>7915467.141136</v>
      </c>
      <c r="AP36">
        <f t="shared" si="28"/>
        <v>8534911.002849</v>
      </c>
    </row>
    <row r="37" spans="1:42">
      <c r="A37">
        <v>1</v>
      </c>
      <c r="B37">
        <v>18</v>
      </c>
      <c r="C37">
        <v>30</v>
      </c>
      <c r="D37">
        <v>15</v>
      </c>
      <c r="E37">
        <v>60</v>
      </c>
      <c r="F37">
        <v>7422</v>
      </c>
      <c r="G37">
        <v>6958.62751635557</v>
      </c>
      <c r="H37">
        <v>6843.33308475602</v>
      </c>
      <c r="I37">
        <v>7166.552</v>
      </c>
      <c r="J37">
        <v>7579.239</v>
      </c>
      <c r="K37">
        <v>7422</v>
      </c>
      <c r="L37">
        <v>7248.667</v>
      </c>
      <c r="M37">
        <v>7612.104</v>
      </c>
      <c r="N37">
        <v>7307.687</v>
      </c>
      <c r="P37">
        <f t="shared" si="4"/>
        <v>463.372483644429</v>
      </c>
      <c r="Q37">
        <f t="shared" si="5"/>
        <v>578.666915243978</v>
      </c>
      <c r="R37">
        <f t="shared" si="6"/>
        <v>255.448</v>
      </c>
      <c r="S37">
        <f t="shared" si="7"/>
        <v>157.239</v>
      </c>
      <c r="T37">
        <f t="shared" si="8"/>
        <v>0</v>
      </c>
      <c r="U37">
        <f t="shared" si="9"/>
        <v>173.333</v>
      </c>
      <c r="V37">
        <f t="shared" si="10"/>
        <v>190.104</v>
      </c>
      <c r="W37">
        <f t="shared" si="11"/>
        <v>114.313</v>
      </c>
      <c r="X37">
        <f t="shared" si="12"/>
        <v>2963.35</v>
      </c>
      <c r="Y37">
        <f t="shared" si="13"/>
        <v>214714.058598807</v>
      </c>
      <c r="Z37">
        <f t="shared" si="14"/>
        <v>334855.398797981</v>
      </c>
      <c r="AA37">
        <f t="shared" si="15"/>
        <v>65253.6807040002</v>
      </c>
      <c r="AB37">
        <f t="shared" si="16"/>
        <v>24724.1031209999</v>
      </c>
      <c r="AC37">
        <f t="shared" si="17"/>
        <v>0</v>
      </c>
      <c r="AD37">
        <f t="shared" si="18"/>
        <v>30044.3288889999</v>
      </c>
      <c r="AE37">
        <f t="shared" si="19"/>
        <v>36139.5308160001</v>
      </c>
      <c r="AF37">
        <f t="shared" si="20"/>
        <v>13067.461969</v>
      </c>
      <c r="AG37">
        <f t="shared" si="2"/>
        <v>8781443.2225</v>
      </c>
      <c r="AI37">
        <f t="shared" si="21"/>
        <v>29847947.5509679</v>
      </c>
      <c r="AJ37">
        <f t="shared" si="22"/>
        <v>28601457.875645</v>
      </c>
      <c r="AK37">
        <f t="shared" si="23"/>
        <v>32163099.247504</v>
      </c>
      <c r="AL37">
        <f t="shared" si="24"/>
        <v>37014313.755721</v>
      </c>
      <c r="AM37">
        <f t="shared" si="25"/>
        <v>35125772.89</v>
      </c>
      <c r="AN37">
        <f t="shared" si="26"/>
        <v>33101231.836689</v>
      </c>
      <c r="AO37">
        <f t="shared" si="27"/>
        <v>37415291.174416</v>
      </c>
      <c r="AP37">
        <f t="shared" si="28"/>
        <v>33783842.637769</v>
      </c>
    </row>
    <row r="38" spans="1:42">
      <c r="A38">
        <v>1</v>
      </c>
      <c r="B38">
        <v>18</v>
      </c>
      <c r="C38">
        <v>35</v>
      </c>
      <c r="D38">
        <v>15</v>
      </c>
      <c r="E38">
        <v>60</v>
      </c>
      <c r="F38">
        <v>8731</v>
      </c>
      <c r="G38">
        <v>7138.55521066361</v>
      </c>
      <c r="H38">
        <v>7247.56201779501</v>
      </c>
      <c r="I38">
        <v>7802.363</v>
      </c>
      <c r="J38">
        <v>8609.083</v>
      </c>
      <c r="K38">
        <v>8808.333</v>
      </c>
      <c r="L38">
        <v>8914.6</v>
      </c>
      <c r="M38">
        <v>8269.718</v>
      </c>
      <c r="N38">
        <v>7852.031</v>
      </c>
      <c r="P38">
        <f t="shared" si="4"/>
        <v>1592.44478933639</v>
      </c>
      <c r="Q38">
        <f t="shared" si="5"/>
        <v>1483.43798220499</v>
      </c>
      <c r="R38">
        <f t="shared" si="6"/>
        <v>928.637</v>
      </c>
      <c r="S38">
        <f t="shared" si="7"/>
        <v>121.916999999999</v>
      </c>
      <c r="T38">
        <f t="shared" si="8"/>
        <v>77.3330000000005</v>
      </c>
      <c r="U38">
        <f t="shared" si="9"/>
        <v>183.6</v>
      </c>
      <c r="V38">
        <f t="shared" si="10"/>
        <v>461.281999999999</v>
      </c>
      <c r="W38">
        <f t="shared" si="11"/>
        <v>878.969</v>
      </c>
      <c r="X38">
        <f t="shared" si="12"/>
        <v>4272.35</v>
      </c>
      <c r="Y38">
        <f t="shared" si="13"/>
        <v>2535880.40708463</v>
      </c>
      <c r="Z38">
        <f t="shared" si="14"/>
        <v>2200588.2470484</v>
      </c>
      <c r="AA38">
        <f t="shared" si="15"/>
        <v>862366.677768999</v>
      </c>
      <c r="AB38">
        <f t="shared" si="16"/>
        <v>14863.7548889999</v>
      </c>
      <c r="AC38">
        <f t="shared" si="17"/>
        <v>5980.39288900008</v>
      </c>
      <c r="AD38">
        <f t="shared" si="18"/>
        <v>33708.9600000001</v>
      </c>
      <c r="AE38">
        <f t="shared" si="19"/>
        <v>212781.083523999</v>
      </c>
      <c r="AF38">
        <f t="shared" si="20"/>
        <v>772586.502961</v>
      </c>
      <c r="AG38">
        <f t="shared" si="2"/>
        <v>18252974.5225</v>
      </c>
      <c r="AI38">
        <f t="shared" si="21"/>
        <v>48333852.5141993</v>
      </c>
      <c r="AJ38">
        <f t="shared" si="22"/>
        <v>49861421.2839545</v>
      </c>
      <c r="AK38">
        <f t="shared" si="23"/>
        <v>58004415.619969</v>
      </c>
      <c r="AL38">
        <f t="shared" si="24"/>
        <v>70943273.465089</v>
      </c>
      <c r="AM38">
        <f t="shared" si="25"/>
        <v>74339453.053089</v>
      </c>
      <c r="AN38">
        <f t="shared" si="26"/>
        <v>76183220.89</v>
      </c>
      <c r="AO38">
        <f t="shared" si="27"/>
        <v>65341646.562724</v>
      </c>
      <c r="AP38">
        <f t="shared" si="28"/>
        <v>58763431.764361</v>
      </c>
    </row>
    <row r="39" spans="1:42">
      <c r="A39">
        <v>1</v>
      </c>
      <c r="B39">
        <v>18</v>
      </c>
      <c r="C39">
        <v>40</v>
      </c>
      <c r="D39">
        <v>15</v>
      </c>
      <c r="E39">
        <v>60</v>
      </c>
      <c r="F39">
        <v>8810</v>
      </c>
      <c r="G39">
        <v>7318.48290497164</v>
      </c>
      <c r="H39">
        <v>7616.9712724119</v>
      </c>
      <c r="I39">
        <v>7979.739</v>
      </c>
      <c r="J39">
        <v>8550.115</v>
      </c>
      <c r="K39">
        <v>8808.333</v>
      </c>
      <c r="L39">
        <v>8914.6</v>
      </c>
      <c r="M39">
        <v>8752.305</v>
      </c>
      <c r="N39">
        <v>8333.471</v>
      </c>
      <c r="P39">
        <f t="shared" si="4"/>
        <v>1491.51709502836</v>
      </c>
      <c r="Q39">
        <f t="shared" si="5"/>
        <v>1193.0287275881</v>
      </c>
      <c r="R39">
        <f t="shared" si="6"/>
        <v>830.261</v>
      </c>
      <c r="S39">
        <f t="shared" si="7"/>
        <v>259.885</v>
      </c>
      <c r="T39">
        <f t="shared" si="8"/>
        <v>1.66699999999946</v>
      </c>
      <c r="U39">
        <f t="shared" si="9"/>
        <v>104.6</v>
      </c>
      <c r="V39">
        <f t="shared" si="10"/>
        <v>57.6949999999997</v>
      </c>
      <c r="W39">
        <f t="shared" si="11"/>
        <v>476.529</v>
      </c>
      <c r="X39">
        <f t="shared" si="12"/>
        <v>4351.35</v>
      </c>
      <c r="Y39">
        <f t="shared" si="13"/>
        <v>2224623.24476184</v>
      </c>
      <c r="Z39">
        <f t="shared" si="14"/>
        <v>1423317.54485049</v>
      </c>
      <c r="AA39">
        <f t="shared" si="15"/>
        <v>689333.328121001</v>
      </c>
      <c r="AB39">
        <f t="shared" si="16"/>
        <v>67540.2132250001</v>
      </c>
      <c r="AC39">
        <f t="shared" si="17"/>
        <v>2.7788889999982</v>
      </c>
      <c r="AD39">
        <f t="shared" si="18"/>
        <v>10941.1600000001</v>
      </c>
      <c r="AE39">
        <f t="shared" si="19"/>
        <v>3328.71302499997</v>
      </c>
      <c r="AF39">
        <f t="shared" si="20"/>
        <v>227079.887841</v>
      </c>
      <c r="AG39">
        <f t="shared" si="2"/>
        <v>18934246.8225</v>
      </c>
      <c r="AI39">
        <f t="shared" si="21"/>
        <v>52001158.8889552</v>
      </c>
      <c r="AJ39">
        <f t="shared" si="22"/>
        <v>56395162.6196885</v>
      </c>
      <c r="AK39">
        <f t="shared" si="23"/>
        <v>61975295.808721</v>
      </c>
      <c r="AL39">
        <f t="shared" si="24"/>
        <v>71281125.124225</v>
      </c>
      <c r="AM39">
        <f t="shared" si="25"/>
        <v>75707975.267089</v>
      </c>
      <c r="AN39">
        <f t="shared" si="26"/>
        <v>77568533.29</v>
      </c>
      <c r="AO39">
        <f t="shared" si="27"/>
        <v>74736111.450025</v>
      </c>
      <c r="AP39">
        <f t="shared" si="28"/>
        <v>67669889.321241</v>
      </c>
    </row>
    <row r="40" spans="1:42">
      <c r="A40">
        <v>1</v>
      </c>
      <c r="B40">
        <v>18</v>
      </c>
      <c r="C40">
        <v>50</v>
      </c>
      <c r="D40">
        <v>15</v>
      </c>
      <c r="E40">
        <v>60</v>
      </c>
      <c r="F40">
        <v>8884</v>
      </c>
      <c r="G40">
        <v>7678.33829358771</v>
      </c>
      <c r="H40">
        <v>8276.78882081063</v>
      </c>
      <c r="I40">
        <v>8334.491</v>
      </c>
      <c r="J40">
        <v>8781.4</v>
      </c>
      <c r="K40">
        <v>8808.333</v>
      </c>
      <c r="L40">
        <v>8914.6</v>
      </c>
      <c r="M40">
        <v>9258.843</v>
      </c>
      <c r="N40">
        <v>9099.06</v>
      </c>
      <c r="P40">
        <f t="shared" si="4"/>
        <v>1205.66170641229</v>
      </c>
      <c r="Q40">
        <f t="shared" si="5"/>
        <v>607.211179189375</v>
      </c>
      <c r="R40">
        <f t="shared" si="6"/>
        <v>549.509</v>
      </c>
      <c r="S40">
        <f t="shared" si="7"/>
        <v>102.6</v>
      </c>
      <c r="T40">
        <f t="shared" si="8"/>
        <v>75.6669999999995</v>
      </c>
      <c r="U40">
        <f t="shared" si="9"/>
        <v>30.6000000000004</v>
      </c>
      <c r="V40">
        <f t="shared" si="10"/>
        <v>374.843000000001</v>
      </c>
      <c r="W40">
        <f t="shared" si="11"/>
        <v>215.059999999999</v>
      </c>
      <c r="X40">
        <f t="shared" si="12"/>
        <v>4425.35</v>
      </c>
      <c r="Y40">
        <f t="shared" si="13"/>
        <v>1453620.150309</v>
      </c>
      <c r="Z40">
        <f t="shared" si="14"/>
        <v>368705.416132551</v>
      </c>
      <c r="AA40">
        <f t="shared" si="15"/>
        <v>301960.141081</v>
      </c>
      <c r="AB40">
        <f t="shared" si="16"/>
        <v>10526.7600000001</v>
      </c>
      <c r="AC40">
        <f t="shared" si="17"/>
        <v>5725.49488899992</v>
      </c>
      <c r="AD40">
        <f t="shared" si="18"/>
        <v>936.360000000022</v>
      </c>
      <c r="AE40">
        <f t="shared" si="19"/>
        <v>140507.274649001</v>
      </c>
      <c r="AF40">
        <f t="shared" si="20"/>
        <v>46250.8035999998</v>
      </c>
      <c r="AG40">
        <f t="shared" si="2"/>
        <v>19583722.6225</v>
      </c>
      <c r="AI40">
        <f t="shared" si="21"/>
        <v>58446610.5104225</v>
      </c>
      <c r="AJ40">
        <f t="shared" si="22"/>
        <v>67955107.9388298</v>
      </c>
      <c r="AK40">
        <f t="shared" si="23"/>
        <v>68909772.018481</v>
      </c>
      <c r="AL40">
        <f t="shared" si="24"/>
        <v>76529253.61</v>
      </c>
      <c r="AM40">
        <f t="shared" si="25"/>
        <v>77001204.151089</v>
      </c>
      <c r="AN40">
        <f t="shared" si="26"/>
        <v>78877489.69</v>
      </c>
      <c r="AO40">
        <f t="shared" si="27"/>
        <v>85110643.644849</v>
      </c>
      <c r="AP40">
        <f t="shared" si="28"/>
        <v>82188004.3776</v>
      </c>
    </row>
    <row r="41" spans="1:42">
      <c r="A41">
        <v>1</v>
      </c>
      <c r="B41">
        <v>18</v>
      </c>
      <c r="C41">
        <v>55</v>
      </c>
      <c r="D41">
        <v>15</v>
      </c>
      <c r="E41">
        <v>60</v>
      </c>
      <c r="F41">
        <v>9510</v>
      </c>
      <c r="G41">
        <v>7858.26598789574</v>
      </c>
      <c r="H41">
        <v>8575.75477176415</v>
      </c>
      <c r="I41">
        <v>8622.016</v>
      </c>
      <c r="J41">
        <v>9156.468</v>
      </c>
      <c r="K41">
        <v>9631</v>
      </c>
      <c r="L41">
        <v>9853.824</v>
      </c>
      <c r="M41">
        <v>9374.747</v>
      </c>
      <c r="N41">
        <v>9383.402</v>
      </c>
      <c r="P41">
        <f t="shared" si="4"/>
        <v>1651.73401210426</v>
      </c>
      <c r="Q41">
        <f t="shared" si="5"/>
        <v>934.24522823585</v>
      </c>
      <c r="R41">
        <f t="shared" si="6"/>
        <v>887.984</v>
      </c>
      <c r="S41">
        <f t="shared" si="7"/>
        <v>353.531999999999</v>
      </c>
      <c r="T41">
        <f t="shared" si="8"/>
        <v>121</v>
      </c>
      <c r="U41">
        <f t="shared" si="9"/>
        <v>343.824000000001</v>
      </c>
      <c r="V41">
        <f t="shared" si="10"/>
        <v>135.253000000001</v>
      </c>
      <c r="W41">
        <f t="shared" si="11"/>
        <v>126.598</v>
      </c>
      <c r="X41">
        <f t="shared" si="12"/>
        <v>5051.35</v>
      </c>
      <c r="Y41">
        <f t="shared" si="13"/>
        <v>2728225.24674204</v>
      </c>
      <c r="Z41">
        <f t="shared" si="14"/>
        <v>872814.146481455</v>
      </c>
      <c r="AA41">
        <f t="shared" si="15"/>
        <v>788515.584256001</v>
      </c>
      <c r="AB41">
        <f t="shared" si="16"/>
        <v>124984.875023999</v>
      </c>
      <c r="AC41">
        <f t="shared" si="17"/>
        <v>14641</v>
      </c>
      <c r="AD41">
        <f t="shared" si="18"/>
        <v>118214.942976</v>
      </c>
      <c r="AE41">
        <f t="shared" si="19"/>
        <v>18293.3740090002</v>
      </c>
      <c r="AF41">
        <f t="shared" si="20"/>
        <v>16027.053604</v>
      </c>
      <c r="AG41">
        <f t="shared" si="2"/>
        <v>25516136.8225</v>
      </c>
      <c r="AI41">
        <f t="shared" si="21"/>
        <v>71418826.1285706</v>
      </c>
      <c r="AJ41">
        <f t="shared" si="22"/>
        <v>84060562.9018848</v>
      </c>
      <c r="AK41">
        <f t="shared" si="23"/>
        <v>84910990.960656</v>
      </c>
      <c r="AL41">
        <f t="shared" si="24"/>
        <v>95046276.692224</v>
      </c>
      <c r="AM41">
        <f t="shared" si="25"/>
        <v>104524041.69</v>
      </c>
      <c r="AN41">
        <f t="shared" si="26"/>
        <v>109129863.682576</v>
      </c>
      <c r="AO41">
        <f t="shared" si="27"/>
        <v>99349999.697809</v>
      </c>
      <c r="AP41">
        <f t="shared" si="28"/>
        <v>99522611.114404</v>
      </c>
    </row>
    <row r="42" spans="1:42">
      <c r="A42">
        <v>1</v>
      </c>
      <c r="B42">
        <v>18</v>
      </c>
      <c r="C42">
        <v>65</v>
      </c>
      <c r="D42">
        <v>15</v>
      </c>
      <c r="E42">
        <v>60</v>
      </c>
      <c r="F42">
        <v>9584</v>
      </c>
      <c r="G42">
        <v>8218.12137651181</v>
      </c>
      <c r="H42">
        <v>9126.05194289249</v>
      </c>
      <c r="I42">
        <v>8963.78</v>
      </c>
      <c r="J42">
        <v>9522.256</v>
      </c>
      <c r="K42">
        <v>9631</v>
      </c>
      <c r="L42">
        <v>9853.824</v>
      </c>
      <c r="M42">
        <v>9526.206</v>
      </c>
      <c r="N42">
        <v>9767.938</v>
      </c>
      <c r="P42">
        <f t="shared" si="4"/>
        <v>1365.87862348819</v>
      </c>
      <c r="Q42">
        <f t="shared" si="5"/>
        <v>457.948057107506</v>
      </c>
      <c r="R42">
        <f t="shared" si="6"/>
        <v>620.219999999999</v>
      </c>
      <c r="S42">
        <f t="shared" si="7"/>
        <v>61.7440000000006</v>
      </c>
      <c r="T42">
        <f t="shared" si="8"/>
        <v>47</v>
      </c>
      <c r="U42">
        <f t="shared" si="9"/>
        <v>269.824000000001</v>
      </c>
      <c r="V42">
        <f t="shared" si="10"/>
        <v>57.7939999999999</v>
      </c>
      <c r="W42">
        <f t="shared" si="11"/>
        <v>183.938</v>
      </c>
      <c r="X42">
        <f t="shared" si="12"/>
        <v>5125.35</v>
      </c>
      <c r="Y42">
        <f t="shared" si="13"/>
        <v>1865624.414102</v>
      </c>
      <c r="Z42">
        <f t="shared" si="14"/>
        <v>209716.423008539</v>
      </c>
      <c r="AA42">
        <f t="shared" si="15"/>
        <v>384672.848399999</v>
      </c>
      <c r="AB42">
        <f t="shared" si="16"/>
        <v>3812.32153600007</v>
      </c>
      <c r="AC42">
        <f t="shared" si="17"/>
        <v>2209</v>
      </c>
      <c r="AD42">
        <f t="shared" si="18"/>
        <v>72804.9909760003</v>
      </c>
      <c r="AE42">
        <f t="shared" si="19"/>
        <v>3340.14643599998</v>
      </c>
      <c r="AF42">
        <f t="shared" si="20"/>
        <v>33833.187844</v>
      </c>
      <c r="AG42">
        <f t="shared" si="2"/>
        <v>26269212.6225</v>
      </c>
      <c r="AI42">
        <f t="shared" si="21"/>
        <v>78940050.8925212</v>
      </c>
      <c r="AJ42">
        <f t="shared" si="22"/>
        <v>95897990.6150247</v>
      </c>
      <c r="AK42">
        <f t="shared" si="23"/>
        <v>92746145.0304</v>
      </c>
      <c r="AL42">
        <f t="shared" si="24"/>
        <v>103814824.369936</v>
      </c>
      <c r="AM42">
        <f t="shared" si="25"/>
        <v>106042625.29</v>
      </c>
      <c r="AN42">
        <f t="shared" si="26"/>
        <v>110681425.234576</v>
      </c>
      <c r="AO42">
        <f t="shared" si="27"/>
        <v>103895332.724836</v>
      </c>
      <c r="AP42">
        <f t="shared" si="28"/>
        <v>108881670.191044</v>
      </c>
    </row>
    <row r="43" spans="1:42">
      <c r="A43">
        <v>1</v>
      </c>
      <c r="B43">
        <v>18</v>
      </c>
      <c r="C43">
        <v>75</v>
      </c>
      <c r="D43">
        <v>15</v>
      </c>
      <c r="E43">
        <v>60</v>
      </c>
      <c r="F43">
        <v>9675</v>
      </c>
      <c r="G43">
        <v>8577.97676512788</v>
      </c>
      <c r="H43">
        <v>9625.43965688905</v>
      </c>
      <c r="I43">
        <v>9305.545</v>
      </c>
      <c r="J43">
        <v>9582.275</v>
      </c>
      <c r="K43">
        <v>9631</v>
      </c>
      <c r="L43">
        <v>9853.824</v>
      </c>
      <c r="M43">
        <v>9644.551</v>
      </c>
      <c r="N43">
        <v>9939.44</v>
      </c>
      <c r="P43">
        <f t="shared" si="4"/>
        <v>1097.02323487212</v>
      </c>
      <c r="Q43">
        <f t="shared" si="5"/>
        <v>49.5603431109503</v>
      </c>
      <c r="R43">
        <f t="shared" si="6"/>
        <v>369.455</v>
      </c>
      <c r="S43">
        <f t="shared" si="7"/>
        <v>92.7250000000004</v>
      </c>
      <c r="T43">
        <f t="shared" si="8"/>
        <v>44</v>
      </c>
      <c r="U43">
        <f t="shared" si="9"/>
        <v>178.824000000001</v>
      </c>
      <c r="V43">
        <f t="shared" si="10"/>
        <v>30.4490000000005</v>
      </c>
      <c r="W43">
        <f t="shared" si="11"/>
        <v>264.440000000001</v>
      </c>
      <c r="X43">
        <f t="shared" si="12"/>
        <v>5216.35</v>
      </c>
      <c r="Y43">
        <f t="shared" si="13"/>
        <v>1203459.9778493</v>
      </c>
      <c r="Z43">
        <f t="shared" si="14"/>
        <v>2456.22760927512</v>
      </c>
      <c r="AA43">
        <f t="shared" si="15"/>
        <v>136496.997025</v>
      </c>
      <c r="AB43">
        <f t="shared" si="16"/>
        <v>8597.92562500007</v>
      </c>
      <c r="AC43">
        <f t="shared" si="17"/>
        <v>1936</v>
      </c>
      <c r="AD43">
        <f t="shared" si="18"/>
        <v>31978.0229760002</v>
      </c>
      <c r="AE43">
        <f t="shared" si="19"/>
        <v>927.141601000032</v>
      </c>
      <c r="AF43">
        <f t="shared" si="20"/>
        <v>69928.5136000003</v>
      </c>
      <c r="AG43">
        <f t="shared" si="2"/>
        <v>27210307.3225</v>
      </c>
      <c r="AI43">
        <f t="shared" si="21"/>
        <v>87154860.6629485</v>
      </c>
      <c r="AJ43">
        <f t="shared" si="22"/>
        <v>107809589.134462</v>
      </c>
      <c r="AK43">
        <f t="shared" si="23"/>
        <v>101268899.930025</v>
      </c>
      <c r="AL43">
        <f t="shared" si="24"/>
        <v>106915083.000625</v>
      </c>
      <c r="AM43">
        <f t="shared" si="25"/>
        <v>107925087.69</v>
      </c>
      <c r="AN43">
        <f t="shared" si="26"/>
        <v>112604441.602576</v>
      </c>
      <c r="AO43">
        <f t="shared" si="27"/>
        <v>108206825.867001</v>
      </c>
      <c r="AP43">
        <f t="shared" si="28"/>
        <v>114428804.1796</v>
      </c>
    </row>
    <row r="44" spans="1:42">
      <c r="A44">
        <v>1</v>
      </c>
      <c r="B44">
        <v>18</v>
      </c>
      <c r="C44">
        <v>80</v>
      </c>
      <c r="D44">
        <v>15</v>
      </c>
      <c r="E44">
        <v>60</v>
      </c>
      <c r="F44">
        <v>9688</v>
      </c>
      <c r="G44">
        <v>8757.90445943591</v>
      </c>
      <c r="H44">
        <v>9859.51739698047</v>
      </c>
      <c r="I44">
        <v>9476.427</v>
      </c>
      <c r="J44">
        <v>9637.789</v>
      </c>
      <c r="K44">
        <v>9631</v>
      </c>
      <c r="L44">
        <v>9853.824</v>
      </c>
      <c r="M44">
        <v>9694.152</v>
      </c>
      <c r="N44">
        <v>9960.939</v>
      </c>
      <c r="P44">
        <f t="shared" si="4"/>
        <v>930.095540564091</v>
      </c>
      <c r="Q44">
        <f t="shared" si="5"/>
        <v>171.517396980467</v>
      </c>
      <c r="R44">
        <f t="shared" si="6"/>
        <v>211.573</v>
      </c>
      <c r="S44">
        <f t="shared" si="7"/>
        <v>50.2109999999993</v>
      </c>
      <c r="T44">
        <f t="shared" si="8"/>
        <v>57</v>
      </c>
      <c r="U44">
        <f t="shared" si="9"/>
        <v>165.824000000001</v>
      </c>
      <c r="V44">
        <f t="shared" si="10"/>
        <v>6.15200000000004</v>
      </c>
      <c r="W44">
        <f t="shared" si="11"/>
        <v>272.939</v>
      </c>
      <c r="X44">
        <f t="shared" si="12"/>
        <v>5229.35</v>
      </c>
      <c r="Y44">
        <f t="shared" si="13"/>
        <v>865077.714577208</v>
      </c>
      <c r="Z44">
        <f t="shared" si="14"/>
        <v>29418.2174669552</v>
      </c>
      <c r="AA44">
        <f t="shared" si="15"/>
        <v>44763.1343290001</v>
      </c>
      <c r="AB44">
        <f t="shared" si="16"/>
        <v>2521.14452099993</v>
      </c>
      <c r="AC44">
        <f t="shared" si="17"/>
        <v>3249</v>
      </c>
      <c r="AD44">
        <f t="shared" si="18"/>
        <v>27497.5989760002</v>
      </c>
      <c r="AE44">
        <f t="shared" si="19"/>
        <v>37.8471040000005</v>
      </c>
      <c r="AF44">
        <f t="shared" si="20"/>
        <v>74495.6977210002</v>
      </c>
      <c r="AG44">
        <f t="shared" si="2"/>
        <v>27346101.4225</v>
      </c>
      <c r="AI44">
        <f t="shared" si="21"/>
        <v>90794302.9443819</v>
      </c>
      <c r="AJ44">
        <f t="shared" si="22"/>
        <v>113001521.907066</v>
      </c>
      <c r="AK44">
        <f t="shared" si="23"/>
        <v>105003611.754129</v>
      </c>
      <c r="AL44">
        <f t="shared" si="24"/>
        <v>108336643.263121</v>
      </c>
      <c r="AM44">
        <f t="shared" si="25"/>
        <v>108195362.89</v>
      </c>
      <c r="AN44">
        <f t="shared" si="26"/>
        <v>112880510.226576</v>
      </c>
      <c r="AO44">
        <f t="shared" si="27"/>
        <v>109513127.381904</v>
      </c>
      <c r="AP44">
        <f t="shared" si="28"/>
        <v>115168075.626321</v>
      </c>
    </row>
    <row r="45" spans="1:42">
      <c r="A45">
        <v>1</v>
      </c>
      <c r="B45">
        <v>18</v>
      </c>
      <c r="C45">
        <v>85</v>
      </c>
      <c r="D45">
        <v>15</v>
      </c>
      <c r="E45">
        <v>60</v>
      </c>
      <c r="F45">
        <v>9698</v>
      </c>
      <c r="G45">
        <v>8937.83215374394</v>
      </c>
      <c r="H45">
        <v>10084.5822024206</v>
      </c>
      <c r="I45">
        <v>9647.31</v>
      </c>
      <c r="J45">
        <v>9674.157</v>
      </c>
      <c r="K45">
        <v>9631</v>
      </c>
      <c r="L45">
        <v>9853.824</v>
      </c>
      <c r="M45">
        <v>9740.924</v>
      </c>
      <c r="N45">
        <v>9948.974</v>
      </c>
      <c r="P45">
        <f t="shared" si="4"/>
        <v>760.167846256056</v>
      </c>
      <c r="Q45">
        <f t="shared" si="5"/>
        <v>386.582202420603</v>
      </c>
      <c r="R45">
        <f t="shared" si="6"/>
        <v>50.6900000000005</v>
      </c>
      <c r="S45">
        <f t="shared" si="7"/>
        <v>23.8430000000008</v>
      </c>
      <c r="T45">
        <f t="shared" si="8"/>
        <v>67</v>
      </c>
      <c r="U45">
        <f t="shared" si="9"/>
        <v>155.824000000001</v>
      </c>
      <c r="V45">
        <f t="shared" si="10"/>
        <v>42.9240000000009</v>
      </c>
      <c r="W45">
        <f t="shared" si="11"/>
        <v>250.974</v>
      </c>
      <c r="X45">
        <f t="shared" si="12"/>
        <v>5239.35</v>
      </c>
      <c r="Y45">
        <f t="shared" si="13"/>
        <v>577855.15448157</v>
      </c>
      <c r="Z45">
        <f t="shared" si="14"/>
        <v>149445.799228364</v>
      </c>
      <c r="AA45">
        <f t="shared" si="15"/>
        <v>2569.47610000005</v>
      </c>
      <c r="AB45">
        <f t="shared" si="16"/>
        <v>568.488649000036</v>
      </c>
      <c r="AC45">
        <f t="shared" si="17"/>
        <v>4489</v>
      </c>
      <c r="AD45">
        <f t="shared" si="18"/>
        <v>24281.1189760002</v>
      </c>
      <c r="AE45">
        <f t="shared" si="19"/>
        <v>1842.46977600008</v>
      </c>
      <c r="AF45">
        <f t="shared" si="20"/>
        <v>62987.9486760001</v>
      </c>
      <c r="AG45">
        <f t="shared" si="2"/>
        <v>27450788.4225</v>
      </c>
      <c r="AI45">
        <f t="shared" si="21"/>
        <v>94449867.2233549</v>
      </c>
      <c r="AJ45">
        <f t="shared" si="22"/>
        <v>118054357.338238</v>
      </c>
      <c r="AK45">
        <f t="shared" si="23"/>
        <v>108743392.5601</v>
      </c>
      <c r="AL45">
        <f t="shared" si="24"/>
        <v>109304034.890449</v>
      </c>
      <c r="AM45">
        <f t="shared" si="25"/>
        <v>108403496.89</v>
      </c>
      <c r="AN45">
        <f t="shared" si="26"/>
        <v>113093100.706576</v>
      </c>
      <c r="AO45">
        <f t="shared" si="27"/>
        <v>110704571.597376</v>
      </c>
      <c r="AP45">
        <f t="shared" si="28"/>
        <v>115125904.146276</v>
      </c>
    </row>
    <row r="46" spans="1:42">
      <c r="A46">
        <v>1</v>
      </c>
      <c r="B46">
        <v>18</v>
      </c>
      <c r="C46">
        <v>95</v>
      </c>
      <c r="D46">
        <v>15</v>
      </c>
      <c r="E46">
        <v>60</v>
      </c>
      <c r="F46">
        <v>9841</v>
      </c>
      <c r="G46">
        <v>9297.68754236001</v>
      </c>
      <c r="H46">
        <v>10510.9439972029</v>
      </c>
      <c r="I46">
        <v>9989.074</v>
      </c>
      <c r="J46">
        <v>9768.656</v>
      </c>
      <c r="K46">
        <v>9849.5</v>
      </c>
      <c r="L46">
        <v>9853.824</v>
      </c>
      <c r="M46">
        <v>9829.015</v>
      </c>
      <c r="N46">
        <v>9853.047</v>
      </c>
      <c r="P46">
        <f t="shared" si="4"/>
        <v>543.312457639988</v>
      </c>
      <c r="Q46">
        <f t="shared" si="5"/>
        <v>669.94399720291</v>
      </c>
      <c r="R46">
        <f t="shared" si="6"/>
        <v>148.074000000001</v>
      </c>
      <c r="S46">
        <f t="shared" si="7"/>
        <v>72.3439999999991</v>
      </c>
      <c r="T46">
        <f t="shared" si="8"/>
        <v>8.5</v>
      </c>
      <c r="U46">
        <f t="shared" si="9"/>
        <v>12.8240000000005</v>
      </c>
      <c r="V46">
        <f t="shared" si="10"/>
        <v>11.9850000000006</v>
      </c>
      <c r="W46">
        <f t="shared" si="11"/>
        <v>12.0470000000005</v>
      </c>
      <c r="X46">
        <f t="shared" si="12"/>
        <v>5382.35</v>
      </c>
      <c r="Y46">
        <f t="shared" si="13"/>
        <v>295188.426626804</v>
      </c>
      <c r="Z46">
        <f t="shared" si="14"/>
        <v>448824.959388213</v>
      </c>
      <c r="AA46">
        <f t="shared" si="15"/>
        <v>21925.9094760002</v>
      </c>
      <c r="AB46">
        <f t="shared" si="16"/>
        <v>5233.65433599988</v>
      </c>
      <c r="AC46">
        <f t="shared" si="17"/>
        <v>72.25</v>
      </c>
      <c r="AD46">
        <f t="shared" si="18"/>
        <v>164.454976000013</v>
      </c>
      <c r="AE46">
        <f t="shared" si="19"/>
        <v>143.640225000014</v>
      </c>
      <c r="AF46">
        <f t="shared" si="20"/>
        <v>145.130209000012</v>
      </c>
      <c r="AG46">
        <f t="shared" si="2"/>
        <v>28969691.5225</v>
      </c>
      <c r="AI46">
        <f t="shared" si="21"/>
        <v>104476763.291112</v>
      </c>
      <c r="AJ46">
        <f t="shared" si="22"/>
        <v>130751083.342769</v>
      </c>
      <c r="AK46">
        <f t="shared" si="23"/>
        <v>119088636.375076</v>
      </c>
      <c r="AL46">
        <f t="shared" si="24"/>
        <v>114326476.830736</v>
      </c>
      <c r="AM46">
        <f t="shared" si="25"/>
        <v>116061838.24</v>
      </c>
      <c r="AN46">
        <f t="shared" si="26"/>
        <v>116155023.570576</v>
      </c>
      <c r="AO46">
        <f t="shared" si="27"/>
        <v>115620879.871225</v>
      </c>
      <c r="AP46">
        <f t="shared" si="28"/>
        <v>116138275.902009</v>
      </c>
    </row>
    <row r="47" spans="1:42">
      <c r="A47">
        <v>1</v>
      </c>
      <c r="B47">
        <v>18</v>
      </c>
      <c r="C47">
        <v>100</v>
      </c>
      <c r="D47">
        <v>15</v>
      </c>
      <c r="E47">
        <v>60</v>
      </c>
      <c r="F47">
        <v>9846</v>
      </c>
      <c r="G47">
        <v>9477.61523666805</v>
      </c>
      <c r="H47">
        <v>10713.5947414537</v>
      </c>
      <c r="I47">
        <v>10159.956</v>
      </c>
      <c r="J47">
        <v>9770.109</v>
      </c>
      <c r="K47">
        <v>9849.5</v>
      </c>
      <c r="L47">
        <v>9853.824</v>
      </c>
      <c r="M47">
        <v>9856.814</v>
      </c>
      <c r="N47">
        <v>9782.457</v>
      </c>
      <c r="P47">
        <f t="shared" si="4"/>
        <v>368.384763331955</v>
      </c>
      <c r="Q47">
        <f t="shared" si="5"/>
        <v>867.594741453682</v>
      </c>
      <c r="R47">
        <f t="shared" si="6"/>
        <v>313.956</v>
      </c>
      <c r="S47">
        <f t="shared" si="7"/>
        <v>75.8909999999996</v>
      </c>
      <c r="T47">
        <f t="shared" si="8"/>
        <v>3.5</v>
      </c>
      <c r="U47">
        <f t="shared" si="9"/>
        <v>7.82400000000052</v>
      </c>
      <c r="V47">
        <f t="shared" si="10"/>
        <v>10.8140000000003</v>
      </c>
      <c r="W47">
        <f t="shared" si="11"/>
        <v>63.5429999999997</v>
      </c>
      <c r="X47">
        <f t="shared" si="12"/>
        <v>5387.35</v>
      </c>
      <c r="Y47">
        <f t="shared" si="13"/>
        <v>135707.33385514</v>
      </c>
      <c r="Z47">
        <f t="shared" si="14"/>
        <v>752720.635398082</v>
      </c>
      <c r="AA47">
        <f t="shared" si="15"/>
        <v>98568.3699360001</v>
      </c>
      <c r="AB47">
        <f t="shared" si="16"/>
        <v>5759.44388099994</v>
      </c>
      <c r="AC47">
        <f t="shared" si="17"/>
        <v>12.25</v>
      </c>
      <c r="AD47">
        <f t="shared" si="18"/>
        <v>61.2149760000082</v>
      </c>
      <c r="AE47">
        <f t="shared" si="19"/>
        <v>116.942596000007</v>
      </c>
      <c r="AF47">
        <f t="shared" si="20"/>
        <v>4037.71284899996</v>
      </c>
      <c r="AG47">
        <f t="shared" si="2"/>
        <v>29023540.0225</v>
      </c>
      <c r="AI47">
        <f t="shared" si="21"/>
        <v>108291396.80491</v>
      </c>
      <c r="AJ47">
        <f t="shared" si="22"/>
        <v>135543026.84688</v>
      </c>
      <c r="AK47">
        <f t="shared" si="23"/>
        <v>122958291.886336</v>
      </c>
      <c r="AL47">
        <f t="shared" si="24"/>
        <v>114464514.018481</v>
      </c>
      <c r="AM47">
        <f t="shared" si="25"/>
        <v>116169595.24</v>
      </c>
      <c r="AN47">
        <f t="shared" si="26"/>
        <v>116262823.810576</v>
      </c>
      <c r="AO47">
        <f t="shared" si="27"/>
        <v>116327312.244196</v>
      </c>
      <c r="AP47">
        <f t="shared" si="28"/>
        <v>114728884.278649</v>
      </c>
    </row>
    <row r="48" spans="1:42">
      <c r="A48">
        <v>1</v>
      </c>
      <c r="B48">
        <v>18</v>
      </c>
      <c r="C48">
        <v>105</v>
      </c>
      <c r="D48">
        <v>15</v>
      </c>
      <c r="E48">
        <v>60</v>
      </c>
      <c r="F48">
        <v>9852</v>
      </c>
      <c r="G48">
        <v>9657.54293097608</v>
      </c>
      <c r="H48">
        <v>10909.9806809434</v>
      </c>
      <c r="I48">
        <v>10330.839</v>
      </c>
      <c r="J48">
        <v>9745.25</v>
      </c>
      <c r="K48">
        <v>9849.5</v>
      </c>
      <c r="L48">
        <v>9853.824</v>
      </c>
      <c r="M48">
        <v>9855.157</v>
      </c>
      <c r="N48">
        <v>9704.691</v>
      </c>
      <c r="P48">
        <f t="shared" si="4"/>
        <v>194.457069023922</v>
      </c>
      <c r="Q48">
        <f t="shared" si="5"/>
        <v>1057.98068094336</v>
      </c>
      <c r="R48">
        <f t="shared" si="6"/>
        <v>478.839</v>
      </c>
      <c r="S48">
        <f t="shared" si="7"/>
        <v>106.75</v>
      </c>
      <c r="T48">
        <f t="shared" si="8"/>
        <v>2.5</v>
      </c>
      <c r="U48">
        <f t="shared" si="9"/>
        <v>1.82400000000052</v>
      </c>
      <c r="V48">
        <f t="shared" si="10"/>
        <v>3.15699999999924</v>
      </c>
      <c r="W48">
        <f t="shared" si="11"/>
        <v>147.308999999999</v>
      </c>
      <c r="X48">
        <f t="shared" si="12"/>
        <v>5393.35</v>
      </c>
      <c r="Y48">
        <f t="shared" si="13"/>
        <v>37813.5516933742</v>
      </c>
      <c r="Z48">
        <f t="shared" si="14"/>
        <v>1119323.12124937</v>
      </c>
      <c r="AA48">
        <f t="shared" si="15"/>
        <v>229286.787921</v>
      </c>
      <c r="AB48">
        <f t="shared" si="16"/>
        <v>11395.5625</v>
      </c>
      <c r="AC48">
        <f t="shared" si="17"/>
        <v>6.25</v>
      </c>
      <c r="AD48">
        <f t="shared" si="18"/>
        <v>3.32697600000191</v>
      </c>
      <c r="AE48">
        <f t="shared" si="19"/>
        <v>9.96664899999522</v>
      </c>
      <c r="AF48">
        <f t="shared" si="20"/>
        <v>21699.9414809998</v>
      </c>
      <c r="AG48">
        <f t="shared" si="2"/>
        <v>29088224.2225</v>
      </c>
      <c r="AI48">
        <f t="shared" si="21"/>
        <v>112195610.308813</v>
      </c>
      <c r="AJ48">
        <f t="shared" si="22"/>
        <v>140296460.433513</v>
      </c>
      <c r="AK48">
        <f t="shared" si="23"/>
        <v>126912368.960521</v>
      </c>
      <c r="AL48">
        <f t="shared" si="24"/>
        <v>114061332.0025</v>
      </c>
      <c r="AM48">
        <f t="shared" si="25"/>
        <v>116298969.64</v>
      </c>
      <c r="AN48">
        <f t="shared" si="26"/>
        <v>116392250.098576</v>
      </c>
      <c r="AO48">
        <f t="shared" si="27"/>
        <v>116421014.080449</v>
      </c>
      <c r="AP48">
        <f t="shared" si="28"/>
        <v>113196640.850881</v>
      </c>
    </row>
    <row r="49" spans="1:42">
      <c r="A49">
        <v>1</v>
      </c>
      <c r="B49">
        <v>18</v>
      </c>
      <c r="C49">
        <v>110</v>
      </c>
      <c r="D49">
        <v>15</v>
      </c>
      <c r="E49">
        <v>60</v>
      </c>
      <c r="F49">
        <v>9859</v>
      </c>
      <c r="G49">
        <v>9837.47062528411</v>
      </c>
      <c r="H49">
        <v>11100.5805773078</v>
      </c>
      <c r="I49">
        <v>10501.721</v>
      </c>
      <c r="J49">
        <v>9756.678</v>
      </c>
      <c r="K49">
        <v>9849.5</v>
      </c>
      <c r="L49">
        <v>9853.824</v>
      </c>
      <c r="M49">
        <v>9808.521</v>
      </c>
      <c r="N49">
        <v>9624.656</v>
      </c>
      <c r="P49">
        <f t="shared" si="4"/>
        <v>21.5293747158867</v>
      </c>
      <c r="Q49">
        <f t="shared" si="5"/>
        <v>1241.58057730779</v>
      </c>
      <c r="R49">
        <f t="shared" si="6"/>
        <v>642.721</v>
      </c>
      <c r="S49">
        <f t="shared" si="7"/>
        <v>102.322</v>
      </c>
      <c r="T49">
        <f t="shared" si="8"/>
        <v>9.5</v>
      </c>
      <c r="U49">
        <f t="shared" si="9"/>
        <v>5.17599999999948</v>
      </c>
      <c r="V49">
        <f t="shared" si="10"/>
        <v>50.4789999999994</v>
      </c>
      <c r="W49">
        <f t="shared" si="11"/>
        <v>234.343999999999</v>
      </c>
      <c r="X49">
        <f t="shared" si="12"/>
        <v>5400.35</v>
      </c>
      <c r="Y49">
        <f t="shared" si="13"/>
        <v>463.51397565706</v>
      </c>
      <c r="Z49">
        <f t="shared" si="14"/>
        <v>1541522.32994795</v>
      </c>
      <c r="AA49">
        <f t="shared" si="15"/>
        <v>413090.283840999</v>
      </c>
      <c r="AB49">
        <f t="shared" si="16"/>
        <v>10469.791684</v>
      </c>
      <c r="AC49">
        <f t="shared" si="17"/>
        <v>90.25</v>
      </c>
      <c r="AD49">
        <f t="shared" si="18"/>
        <v>26.7909759999946</v>
      </c>
      <c r="AE49">
        <f t="shared" si="19"/>
        <v>2548.12944099994</v>
      </c>
      <c r="AF49">
        <f t="shared" si="20"/>
        <v>54917.1103359996</v>
      </c>
      <c r="AG49">
        <f t="shared" si="2"/>
        <v>29163780.1225</v>
      </c>
      <c r="AI49">
        <f t="shared" si="21"/>
        <v>116190519.368988</v>
      </c>
      <c r="AJ49">
        <f t="shared" si="22"/>
        <v>145016521.502604</v>
      </c>
      <c r="AK49">
        <f t="shared" si="23"/>
        <v>130951884.183241</v>
      </c>
      <c r="AL49">
        <f t="shared" si="24"/>
        <v>114455291.830884</v>
      </c>
      <c r="AM49">
        <f t="shared" si="25"/>
        <v>116449997.44</v>
      </c>
      <c r="AN49">
        <f t="shared" si="26"/>
        <v>116543338.434576</v>
      </c>
      <c r="AO49">
        <f t="shared" si="27"/>
        <v>115567251.548841</v>
      </c>
      <c r="AP49">
        <f t="shared" si="28"/>
        <v>111647879.118736</v>
      </c>
    </row>
    <row r="50" spans="1:42">
      <c r="A50">
        <v>1</v>
      </c>
      <c r="B50">
        <v>18</v>
      </c>
      <c r="C50">
        <v>15</v>
      </c>
      <c r="D50">
        <v>45</v>
      </c>
      <c r="E50">
        <v>60</v>
      </c>
      <c r="F50">
        <v>975</v>
      </c>
      <c r="G50">
        <v>3148.4302772582</v>
      </c>
      <c r="H50">
        <v>2675.80920703581</v>
      </c>
      <c r="I50">
        <v>1711.714</v>
      </c>
      <c r="J50">
        <v>1225.172</v>
      </c>
      <c r="K50">
        <v>1007.5</v>
      </c>
      <c r="L50">
        <v>1206.833</v>
      </c>
      <c r="M50">
        <v>955.346</v>
      </c>
      <c r="N50">
        <v>764.091</v>
      </c>
      <c r="P50">
        <f t="shared" si="4"/>
        <v>2173.4302772582</v>
      </c>
      <c r="Q50">
        <f t="shared" si="5"/>
        <v>1700.80920703581</v>
      </c>
      <c r="R50">
        <f t="shared" si="6"/>
        <v>736.714</v>
      </c>
      <c r="S50">
        <f t="shared" si="7"/>
        <v>250.172</v>
      </c>
      <c r="T50">
        <f t="shared" si="8"/>
        <v>32.5</v>
      </c>
      <c r="U50">
        <f t="shared" si="9"/>
        <v>231.833</v>
      </c>
      <c r="V50">
        <f t="shared" si="10"/>
        <v>19.654</v>
      </c>
      <c r="W50">
        <f t="shared" si="11"/>
        <v>210.909</v>
      </c>
      <c r="X50">
        <f t="shared" si="12"/>
        <v>3483.65</v>
      </c>
      <c r="Y50">
        <f t="shared" si="13"/>
        <v>4723799.17010267</v>
      </c>
      <c r="Z50">
        <f t="shared" si="14"/>
        <v>2892751.95873776</v>
      </c>
      <c r="AA50">
        <f t="shared" si="15"/>
        <v>542747.517796</v>
      </c>
      <c r="AB50">
        <f t="shared" si="16"/>
        <v>62586.029584</v>
      </c>
      <c r="AC50">
        <f t="shared" si="17"/>
        <v>1056.25</v>
      </c>
      <c r="AD50">
        <f t="shared" si="18"/>
        <v>53746.539889</v>
      </c>
      <c r="AE50">
        <f t="shared" si="19"/>
        <v>386.279716</v>
      </c>
      <c r="AF50">
        <f t="shared" si="20"/>
        <v>44482.606281</v>
      </c>
      <c r="AG50">
        <f t="shared" si="2"/>
        <v>12135817.3225</v>
      </c>
      <c r="AI50">
        <f t="shared" si="21"/>
        <v>22981186.9186205</v>
      </c>
      <c r="AJ50">
        <f t="shared" si="22"/>
        <v>27735925.2723766</v>
      </c>
      <c r="AK50">
        <f t="shared" si="23"/>
        <v>38820201.903396</v>
      </c>
      <c r="AL50">
        <f t="shared" si="24"/>
        <v>45119808.568384</v>
      </c>
      <c r="AM50">
        <f t="shared" si="25"/>
        <v>48091451.04</v>
      </c>
      <c r="AN50">
        <f t="shared" si="26"/>
        <v>45366515.708089</v>
      </c>
      <c r="AO50">
        <f t="shared" si="27"/>
        <v>48817526.198116</v>
      </c>
      <c r="AP50">
        <f t="shared" si="28"/>
        <v>51526684.447681</v>
      </c>
    </row>
    <row r="51" spans="1:42">
      <c r="A51">
        <v>1</v>
      </c>
      <c r="B51">
        <v>18</v>
      </c>
      <c r="C51">
        <v>20</v>
      </c>
      <c r="D51">
        <v>45</v>
      </c>
      <c r="E51">
        <v>60</v>
      </c>
      <c r="F51">
        <v>1040</v>
      </c>
      <c r="G51">
        <v>3328.35797156624</v>
      </c>
      <c r="H51">
        <v>2978.30919641311</v>
      </c>
      <c r="I51">
        <v>1965.511</v>
      </c>
      <c r="J51">
        <v>1237.902</v>
      </c>
      <c r="K51">
        <v>1007.5</v>
      </c>
      <c r="L51">
        <v>1206.833</v>
      </c>
      <c r="M51">
        <v>1081.292</v>
      </c>
      <c r="N51">
        <v>1172.295</v>
      </c>
      <c r="P51">
        <f t="shared" si="4"/>
        <v>2288.35797156624</v>
      </c>
      <c r="Q51">
        <f t="shared" si="5"/>
        <v>1938.30919641311</v>
      </c>
      <c r="R51">
        <f t="shared" si="6"/>
        <v>925.511</v>
      </c>
      <c r="S51">
        <f t="shared" si="7"/>
        <v>197.902</v>
      </c>
      <c r="T51">
        <f t="shared" si="8"/>
        <v>32.5</v>
      </c>
      <c r="U51">
        <f t="shared" si="9"/>
        <v>166.833</v>
      </c>
      <c r="V51">
        <f t="shared" si="10"/>
        <v>41.2919999999999</v>
      </c>
      <c r="W51">
        <f t="shared" si="11"/>
        <v>132.295</v>
      </c>
      <c r="X51">
        <f t="shared" si="12"/>
        <v>3418.65</v>
      </c>
      <c r="Y51">
        <f t="shared" si="13"/>
        <v>5236582.20603074</v>
      </c>
      <c r="Z51">
        <f t="shared" si="14"/>
        <v>3757042.54089965</v>
      </c>
      <c r="AA51">
        <f t="shared" si="15"/>
        <v>856570.611121</v>
      </c>
      <c r="AB51">
        <f t="shared" si="16"/>
        <v>39165.201604</v>
      </c>
      <c r="AC51">
        <f t="shared" si="17"/>
        <v>1056.25</v>
      </c>
      <c r="AD51">
        <f t="shared" si="18"/>
        <v>27833.249889</v>
      </c>
      <c r="AE51">
        <f t="shared" si="19"/>
        <v>1705.02926399999</v>
      </c>
      <c r="AF51">
        <f t="shared" si="20"/>
        <v>17501.967025</v>
      </c>
      <c r="AG51">
        <f t="shared" si="2"/>
        <v>11687167.8225</v>
      </c>
      <c r="AI51">
        <f t="shared" si="21"/>
        <v>20692873.5780511</v>
      </c>
      <c r="AJ51">
        <f t="shared" si="22"/>
        <v>24000110.8936289</v>
      </c>
      <c r="AK51">
        <f t="shared" si="23"/>
        <v>34949249.180521</v>
      </c>
      <c r="AL51">
        <f t="shared" si="24"/>
        <v>44081605.802404</v>
      </c>
      <c r="AM51">
        <f t="shared" si="25"/>
        <v>47194152.04</v>
      </c>
      <c r="AN51">
        <f t="shared" si="26"/>
        <v>44495129.998089</v>
      </c>
      <c r="AO51">
        <f t="shared" si="27"/>
        <v>46185724.736064</v>
      </c>
      <c r="AP51">
        <f t="shared" si="28"/>
        <v>44957092.050025</v>
      </c>
    </row>
    <row r="52" spans="1:42">
      <c r="A52">
        <v>1</v>
      </c>
      <c r="B52">
        <v>18</v>
      </c>
      <c r="C52">
        <v>35</v>
      </c>
      <c r="D52">
        <v>45</v>
      </c>
      <c r="E52">
        <v>60</v>
      </c>
      <c r="F52">
        <v>2220</v>
      </c>
      <c r="G52">
        <v>3868.14105449034</v>
      </c>
      <c r="H52">
        <v>3668.1977926284</v>
      </c>
      <c r="I52">
        <v>2816.62</v>
      </c>
      <c r="J52">
        <v>2576.755</v>
      </c>
      <c r="K52">
        <v>2220</v>
      </c>
      <c r="L52">
        <v>2814.5</v>
      </c>
      <c r="M52">
        <v>2208.944</v>
      </c>
      <c r="N52">
        <v>2485.26</v>
      </c>
      <c r="P52">
        <f t="shared" si="4"/>
        <v>1648.14105449034</v>
      </c>
      <c r="Q52">
        <f t="shared" si="5"/>
        <v>1448.1977926284</v>
      </c>
      <c r="R52">
        <f t="shared" si="6"/>
        <v>596.62</v>
      </c>
      <c r="S52">
        <f t="shared" si="7"/>
        <v>356.755</v>
      </c>
      <c r="T52">
        <f t="shared" si="8"/>
        <v>0</v>
      </c>
      <c r="U52">
        <f t="shared" si="9"/>
        <v>594.5</v>
      </c>
      <c r="V52">
        <f t="shared" si="10"/>
        <v>11.056</v>
      </c>
      <c r="W52">
        <f t="shared" si="11"/>
        <v>265.26</v>
      </c>
      <c r="X52">
        <f t="shared" si="12"/>
        <v>2238.65</v>
      </c>
      <c r="Y52">
        <f t="shared" si="13"/>
        <v>2716368.93549653</v>
      </c>
      <c r="Z52">
        <f t="shared" si="14"/>
        <v>2097276.84657376</v>
      </c>
      <c r="AA52">
        <f t="shared" si="15"/>
        <v>355955.4244</v>
      </c>
      <c r="AB52">
        <f t="shared" si="16"/>
        <v>127274.130025</v>
      </c>
      <c r="AC52">
        <f t="shared" si="17"/>
        <v>0</v>
      </c>
      <c r="AD52">
        <f t="shared" si="18"/>
        <v>353430.25</v>
      </c>
      <c r="AE52">
        <f t="shared" si="19"/>
        <v>122.235136000001</v>
      </c>
      <c r="AF52">
        <f t="shared" si="20"/>
        <v>70362.8676000001</v>
      </c>
      <c r="AG52">
        <f t="shared" si="2"/>
        <v>5011553.8225</v>
      </c>
      <c r="AI52">
        <f t="shared" si="21"/>
        <v>8004140.33895733</v>
      </c>
      <c r="AJ52">
        <f t="shared" si="22"/>
        <v>9175460.18270351</v>
      </c>
      <c r="AK52">
        <f t="shared" si="23"/>
        <v>15059677.2624</v>
      </c>
      <c r="AL52">
        <f t="shared" si="24"/>
        <v>16978891.097025</v>
      </c>
      <c r="AM52">
        <f t="shared" si="25"/>
        <v>20046215.29</v>
      </c>
      <c r="AN52">
        <f t="shared" si="26"/>
        <v>15076135.84</v>
      </c>
      <c r="AO52">
        <f t="shared" si="27"/>
        <v>20145339.582736</v>
      </c>
      <c r="AP52">
        <f t="shared" si="28"/>
        <v>17741280.9616</v>
      </c>
    </row>
    <row r="53" spans="1:42">
      <c r="A53">
        <v>1</v>
      </c>
      <c r="B53">
        <v>18</v>
      </c>
      <c r="C53">
        <v>40</v>
      </c>
      <c r="D53">
        <v>45</v>
      </c>
      <c r="E53">
        <v>60</v>
      </c>
      <c r="F53">
        <v>2678</v>
      </c>
      <c r="G53">
        <v>4048.06874879837</v>
      </c>
      <c r="H53">
        <v>3855.16634964592</v>
      </c>
      <c r="I53">
        <v>3101.279</v>
      </c>
      <c r="J53">
        <v>2863.782</v>
      </c>
      <c r="K53">
        <v>2678</v>
      </c>
      <c r="L53">
        <v>2814.5</v>
      </c>
      <c r="M53">
        <v>2779.456</v>
      </c>
      <c r="N53">
        <v>2930.72</v>
      </c>
      <c r="P53">
        <f t="shared" si="4"/>
        <v>1370.06874879837</v>
      </c>
      <c r="Q53">
        <f t="shared" si="5"/>
        <v>1177.16634964592</v>
      </c>
      <c r="R53">
        <f t="shared" si="6"/>
        <v>423.279</v>
      </c>
      <c r="S53">
        <f t="shared" si="7"/>
        <v>185.782</v>
      </c>
      <c r="T53">
        <f t="shared" si="8"/>
        <v>0</v>
      </c>
      <c r="U53">
        <f t="shared" si="9"/>
        <v>136.5</v>
      </c>
      <c r="V53">
        <f t="shared" si="10"/>
        <v>101.456</v>
      </c>
      <c r="W53">
        <f t="shared" si="11"/>
        <v>252.72</v>
      </c>
      <c r="X53">
        <f t="shared" si="12"/>
        <v>1780.65</v>
      </c>
      <c r="Y53">
        <f t="shared" si="13"/>
        <v>1877088.37643394</v>
      </c>
      <c r="Z53">
        <f t="shared" si="14"/>
        <v>1385720.6147387</v>
      </c>
      <c r="AA53">
        <f t="shared" si="15"/>
        <v>179165.111841</v>
      </c>
      <c r="AB53">
        <f t="shared" si="16"/>
        <v>34514.9515240001</v>
      </c>
      <c r="AC53">
        <f t="shared" si="17"/>
        <v>0</v>
      </c>
      <c r="AD53">
        <f t="shared" si="18"/>
        <v>18632.25</v>
      </c>
      <c r="AE53">
        <f t="shared" si="19"/>
        <v>10293.319936</v>
      </c>
      <c r="AF53">
        <f t="shared" si="20"/>
        <v>63867.3983999999</v>
      </c>
      <c r="AG53">
        <f t="shared" si="2"/>
        <v>3170714.4225</v>
      </c>
      <c r="AI53">
        <f t="shared" si="21"/>
        <v>4801494.39624265</v>
      </c>
      <c r="AJ53">
        <f t="shared" si="22"/>
        <v>5684093.26275066</v>
      </c>
      <c r="AK53">
        <f t="shared" si="23"/>
        <v>9847175.796441</v>
      </c>
      <c r="AL53">
        <f t="shared" si="24"/>
        <v>11394121.768324</v>
      </c>
      <c r="AM53">
        <f t="shared" si="25"/>
        <v>12682857.69</v>
      </c>
      <c r="AN53">
        <f t="shared" si="26"/>
        <v>11729255.04</v>
      </c>
      <c r="AO53">
        <f t="shared" si="27"/>
        <v>11970520.504336</v>
      </c>
      <c r="AP53">
        <f t="shared" si="28"/>
        <v>10946701.6164</v>
      </c>
    </row>
    <row r="54" spans="1:42">
      <c r="A54">
        <v>1</v>
      </c>
      <c r="B54">
        <v>18</v>
      </c>
      <c r="C54">
        <v>45</v>
      </c>
      <c r="D54">
        <v>45</v>
      </c>
      <c r="E54">
        <v>60</v>
      </c>
      <c r="F54">
        <v>3145</v>
      </c>
      <c r="G54">
        <v>4227.99644310641</v>
      </c>
      <c r="H54">
        <v>4027.97888213624</v>
      </c>
      <c r="I54">
        <v>3385.939</v>
      </c>
      <c r="J54">
        <v>3428.291</v>
      </c>
      <c r="K54">
        <v>3145</v>
      </c>
      <c r="L54">
        <v>2814.5</v>
      </c>
      <c r="M54">
        <v>3368.947</v>
      </c>
      <c r="N54">
        <v>3369.292</v>
      </c>
      <c r="P54">
        <f t="shared" si="4"/>
        <v>1082.99644310641</v>
      </c>
      <c r="Q54">
        <f t="shared" si="5"/>
        <v>882.978882136237</v>
      </c>
      <c r="R54">
        <f t="shared" si="6"/>
        <v>240.939</v>
      </c>
      <c r="S54">
        <f t="shared" si="7"/>
        <v>283.291</v>
      </c>
      <c r="T54">
        <f t="shared" si="8"/>
        <v>0</v>
      </c>
      <c r="U54">
        <f t="shared" si="9"/>
        <v>330.5</v>
      </c>
      <c r="V54">
        <f t="shared" si="10"/>
        <v>223.947</v>
      </c>
      <c r="W54">
        <f t="shared" si="11"/>
        <v>224.292</v>
      </c>
      <c r="X54">
        <f t="shared" si="12"/>
        <v>1313.65</v>
      </c>
      <c r="Y54">
        <f t="shared" si="13"/>
        <v>1172881.29578113</v>
      </c>
      <c r="Z54">
        <f t="shared" si="14"/>
        <v>779651.706298558</v>
      </c>
      <c r="AA54">
        <f t="shared" si="15"/>
        <v>58051.6017209999</v>
      </c>
      <c r="AB54">
        <f t="shared" si="16"/>
        <v>80253.7906810001</v>
      </c>
      <c r="AC54">
        <f t="shared" si="17"/>
        <v>0</v>
      </c>
      <c r="AD54">
        <f t="shared" si="18"/>
        <v>109230.25</v>
      </c>
      <c r="AE54">
        <f t="shared" si="19"/>
        <v>50152.258809</v>
      </c>
      <c r="AF54">
        <f t="shared" si="20"/>
        <v>50306.901264</v>
      </c>
      <c r="AG54">
        <f t="shared" si="2"/>
        <v>1725676.3225</v>
      </c>
      <c r="AI54">
        <f t="shared" si="21"/>
        <v>2384873.4758342</v>
      </c>
      <c r="AJ54">
        <f t="shared" si="22"/>
        <v>3042656.16222549</v>
      </c>
      <c r="AK54">
        <f t="shared" si="23"/>
        <v>5694718.822321</v>
      </c>
      <c r="AL54">
        <f t="shared" si="24"/>
        <v>5494378.192081</v>
      </c>
      <c r="AM54">
        <f t="shared" si="25"/>
        <v>6902705.29</v>
      </c>
      <c r="AN54">
        <f t="shared" si="26"/>
        <v>8748580.84</v>
      </c>
      <c r="AO54">
        <f t="shared" si="27"/>
        <v>5776105.642609</v>
      </c>
      <c r="AP54">
        <f t="shared" si="28"/>
        <v>5774447.448064</v>
      </c>
    </row>
    <row r="55" spans="1:42">
      <c r="A55">
        <v>1</v>
      </c>
      <c r="B55">
        <v>18</v>
      </c>
      <c r="C55">
        <v>50</v>
      </c>
      <c r="D55">
        <v>45</v>
      </c>
      <c r="E55">
        <v>60</v>
      </c>
      <c r="F55">
        <v>4340</v>
      </c>
      <c r="G55">
        <v>4407.92413741444</v>
      </c>
      <c r="H55">
        <v>4189.11882478598</v>
      </c>
      <c r="I55">
        <v>3951.804</v>
      </c>
      <c r="J55">
        <v>4311.843</v>
      </c>
      <c r="K55">
        <v>4348</v>
      </c>
      <c r="L55">
        <v>4498</v>
      </c>
      <c r="M55">
        <v>3918.753</v>
      </c>
      <c r="N55">
        <v>3794.851</v>
      </c>
      <c r="P55">
        <f t="shared" si="4"/>
        <v>67.9241374144403</v>
      </c>
      <c r="Q55">
        <f t="shared" si="5"/>
        <v>150.881175214023</v>
      </c>
      <c r="R55">
        <f t="shared" si="6"/>
        <v>388.196</v>
      </c>
      <c r="S55">
        <f t="shared" si="7"/>
        <v>28.1570000000002</v>
      </c>
      <c r="T55">
        <f t="shared" si="8"/>
        <v>8</v>
      </c>
      <c r="U55">
        <f t="shared" si="9"/>
        <v>158</v>
      </c>
      <c r="V55">
        <f t="shared" si="10"/>
        <v>421.247</v>
      </c>
      <c r="W55">
        <f t="shared" si="11"/>
        <v>545.149</v>
      </c>
      <c r="X55">
        <f t="shared" si="12"/>
        <v>118.65</v>
      </c>
      <c r="Y55">
        <f t="shared" si="13"/>
        <v>4613.68844349577</v>
      </c>
      <c r="Z55">
        <f t="shared" si="14"/>
        <v>22765.1290339646</v>
      </c>
      <c r="AA55">
        <f t="shared" si="15"/>
        <v>150696.134416</v>
      </c>
      <c r="AB55">
        <f t="shared" si="16"/>
        <v>792.816649000009</v>
      </c>
      <c r="AC55">
        <f t="shared" si="17"/>
        <v>64</v>
      </c>
      <c r="AD55">
        <f t="shared" si="18"/>
        <v>24964</v>
      </c>
      <c r="AE55">
        <f t="shared" si="19"/>
        <v>177449.035009</v>
      </c>
      <c r="AF55">
        <f t="shared" si="20"/>
        <v>297187.432201</v>
      </c>
      <c r="AG55">
        <f t="shared" si="2"/>
        <v>14077.8224999999</v>
      </c>
      <c r="AI55">
        <f t="shared" si="21"/>
        <v>28688.1828266021</v>
      </c>
      <c r="AJ55">
        <f t="shared" si="22"/>
        <v>150684.624790539</v>
      </c>
      <c r="AK55">
        <f t="shared" si="23"/>
        <v>391245.246015999</v>
      </c>
      <c r="AL55">
        <f t="shared" si="24"/>
        <v>70467.4188489997</v>
      </c>
      <c r="AM55">
        <f t="shared" si="25"/>
        <v>52578.4899999997</v>
      </c>
      <c r="AN55">
        <f t="shared" si="26"/>
        <v>24964</v>
      </c>
      <c r="AO55">
        <f t="shared" si="27"/>
        <v>433684.151208999</v>
      </c>
      <c r="AP55">
        <f t="shared" si="28"/>
        <v>612226.437600999</v>
      </c>
    </row>
    <row r="56" spans="1:42">
      <c r="A56">
        <v>1</v>
      </c>
      <c r="B56">
        <v>18</v>
      </c>
      <c r="C56">
        <v>55</v>
      </c>
      <c r="D56">
        <v>45</v>
      </c>
      <c r="E56">
        <v>60</v>
      </c>
      <c r="F56">
        <v>4356</v>
      </c>
      <c r="G56">
        <v>4587.85183172247</v>
      </c>
      <c r="H56">
        <v>4340.43401721429</v>
      </c>
      <c r="I56">
        <v>4195.786</v>
      </c>
      <c r="J56">
        <v>4440.858</v>
      </c>
      <c r="K56">
        <v>4348</v>
      </c>
      <c r="L56">
        <v>4498</v>
      </c>
      <c r="M56">
        <v>4386.694</v>
      </c>
      <c r="N56">
        <v>4201.714</v>
      </c>
      <c r="P56">
        <f t="shared" si="4"/>
        <v>231.851831722473</v>
      </c>
      <c r="Q56">
        <f t="shared" si="5"/>
        <v>15.5659827857125</v>
      </c>
      <c r="R56">
        <f t="shared" si="6"/>
        <v>160.214</v>
      </c>
      <c r="S56">
        <f t="shared" si="7"/>
        <v>84.8580000000002</v>
      </c>
      <c r="T56">
        <f t="shared" si="8"/>
        <v>8</v>
      </c>
      <c r="U56">
        <f t="shared" si="9"/>
        <v>142</v>
      </c>
      <c r="V56">
        <f t="shared" si="10"/>
        <v>30.6940000000004</v>
      </c>
      <c r="W56">
        <f t="shared" si="11"/>
        <v>154.286</v>
      </c>
      <c r="X56">
        <f t="shared" si="12"/>
        <v>102.65</v>
      </c>
      <c r="Y56">
        <f t="shared" si="13"/>
        <v>53755.2718730661</v>
      </c>
      <c r="Z56">
        <f t="shared" si="14"/>
        <v>242.299820085099</v>
      </c>
      <c r="AA56">
        <f t="shared" si="15"/>
        <v>25668.525796</v>
      </c>
      <c r="AB56">
        <f t="shared" si="16"/>
        <v>7200.88016400003</v>
      </c>
      <c r="AC56">
        <f t="shared" si="17"/>
        <v>64</v>
      </c>
      <c r="AD56">
        <f t="shared" si="18"/>
        <v>20164</v>
      </c>
      <c r="AE56">
        <f t="shared" si="19"/>
        <v>942.121636000025</v>
      </c>
      <c r="AF56">
        <f t="shared" si="20"/>
        <v>23804.169796</v>
      </c>
      <c r="AG56">
        <f t="shared" si="2"/>
        <v>10537.0224999999</v>
      </c>
      <c r="AI56">
        <f t="shared" si="21"/>
        <v>53755.2718730661</v>
      </c>
      <c r="AJ56">
        <f t="shared" si="22"/>
        <v>48781.7823518983</v>
      </c>
      <c r="AK56">
        <f t="shared" si="23"/>
        <v>133600.484195999</v>
      </c>
      <c r="AL56">
        <f t="shared" si="24"/>
        <v>14506.2753639998</v>
      </c>
      <c r="AM56">
        <f t="shared" si="25"/>
        <v>45496.8899999997</v>
      </c>
      <c r="AN56">
        <f t="shared" si="26"/>
        <v>20164</v>
      </c>
      <c r="AO56">
        <f t="shared" si="27"/>
        <v>30487.2552359996</v>
      </c>
      <c r="AP56">
        <f t="shared" si="28"/>
        <v>129302.091396</v>
      </c>
    </row>
    <row r="57" spans="1:42">
      <c r="A57">
        <v>1</v>
      </c>
      <c r="B57">
        <v>18</v>
      </c>
      <c r="C57">
        <v>70</v>
      </c>
      <c r="D57">
        <v>45</v>
      </c>
      <c r="E57">
        <v>60</v>
      </c>
      <c r="F57">
        <v>5310</v>
      </c>
      <c r="G57">
        <v>5127.63491464658</v>
      </c>
      <c r="H57">
        <v>4748.16809182122</v>
      </c>
      <c r="I57">
        <v>4927.731</v>
      </c>
      <c r="J57">
        <v>5350.588</v>
      </c>
      <c r="K57">
        <v>5315.5</v>
      </c>
      <c r="L57">
        <v>5417.333</v>
      </c>
      <c r="M57">
        <v>5316.399</v>
      </c>
      <c r="N57">
        <v>5262.366</v>
      </c>
      <c r="P57">
        <f t="shared" si="4"/>
        <v>182.365085353424</v>
      </c>
      <c r="Q57">
        <f t="shared" si="5"/>
        <v>561.83190817878</v>
      </c>
      <c r="R57">
        <f t="shared" si="6"/>
        <v>382.269</v>
      </c>
      <c r="S57">
        <f t="shared" si="7"/>
        <v>40.5879999999997</v>
      </c>
      <c r="T57">
        <f t="shared" si="8"/>
        <v>5.5</v>
      </c>
      <c r="U57">
        <f t="shared" si="9"/>
        <v>107.333</v>
      </c>
      <c r="V57">
        <f t="shared" si="10"/>
        <v>6.39900000000034</v>
      </c>
      <c r="W57">
        <f t="shared" si="11"/>
        <v>47.634</v>
      </c>
      <c r="X57">
        <f t="shared" si="12"/>
        <v>851.35</v>
      </c>
      <c r="Y57">
        <f t="shared" si="13"/>
        <v>33257.0243559615</v>
      </c>
      <c r="Z57">
        <f t="shared" si="14"/>
        <v>315655.09304781</v>
      </c>
      <c r="AA57">
        <f t="shared" si="15"/>
        <v>146129.588361</v>
      </c>
      <c r="AB57">
        <f t="shared" si="16"/>
        <v>1647.38574399998</v>
      </c>
      <c r="AC57">
        <f t="shared" si="17"/>
        <v>30.25</v>
      </c>
      <c r="AD57">
        <f t="shared" si="18"/>
        <v>11520.3728889999</v>
      </c>
      <c r="AE57">
        <f t="shared" si="19"/>
        <v>40.9472010000044</v>
      </c>
      <c r="AF57">
        <f t="shared" si="20"/>
        <v>2268.997956</v>
      </c>
      <c r="AG57">
        <f t="shared" si="2"/>
        <v>724796.822500001</v>
      </c>
      <c r="AI57">
        <f t="shared" si="21"/>
        <v>2311418.25269341</v>
      </c>
      <c r="AJ57">
        <f t="shared" si="22"/>
        <v>1301580.00293579</v>
      </c>
      <c r="AK57">
        <f t="shared" si="23"/>
        <v>1743538.025761</v>
      </c>
      <c r="AL57">
        <f t="shared" si="24"/>
        <v>3039053.050944</v>
      </c>
      <c r="AM57">
        <f t="shared" si="25"/>
        <v>2917947.24</v>
      </c>
      <c r="AN57">
        <f t="shared" si="26"/>
        <v>3276219.461089</v>
      </c>
      <c r="AO57">
        <f t="shared" si="27"/>
        <v>2921019.391801</v>
      </c>
      <c r="AP57">
        <f t="shared" si="28"/>
        <v>2739243.464356</v>
      </c>
    </row>
    <row r="58" spans="1:42">
      <c r="A58">
        <v>1</v>
      </c>
      <c r="B58">
        <v>18</v>
      </c>
      <c r="C58">
        <v>75</v>
      </c>
      <c r="D58">
        <v>45</v>
      </c>
      <c r="E58">
        <v>60</v>
      </c>
      <c r="F58">
        <v>5321</v>
      </c>
      <c r="G58">
        <v>5307.56260895461</v>
      </c>
      <c r="H58">
        <v>4871.70946806473</v>
      </c>
      <c r="I58">
        <v>5171.713</v>
      </c>
      <c r="J58">
        <v>5521.829</v>
      </c>
      <c r="K58">
        <v>5315.5</v>
      </c>
      <c r="L58">
        <v>5417.333</v>
      </c>
      <c r="M58">
        <v>5561.608</v>
      </c>
      <c r="N58">
        <v>5550.353</v>
      </c>
      <c r="P58">
        <f t="shared" si="4"/>
        <v>13.4373910453905</v>
      </c>
      <c r="Q58">
        <f t="shared" si="5"/>
        <v>449.290531935275</v>
      </c>
      <c r="R58">
        <f t="shared" si="6"/>
        <v>149.287</v>
      </c>
      <c r="S58">
        <f t="shared" si="7"/>
        <v>200.829</v>
      </c>
      <c r="T58">
        <f t="shared" si="8"/>
        <v>5.5</v>
      </c>
      <c r="U58">
        <f t="shared" si="9"/>
        <v>96.3329999999996</v>
      </c>
      <c r="V58">
        <f t="shared" si="10"/>
        <v>240.608</v>
      </c>
      <c r="W58">
        <f t="shared" si="11"/>
        <v>229.353</v>
      </c>
      <c r="X58">
        <f t="shared" si="12"/>
        <v>862.35</v>
      </c>
      <c r="Y58">
        <f t="shared" si="13"/>
        <v>180.563478106742</v>
      </c>
      <c r="Z58">
        <f t="shared" si="14"/>
        <v>201861.982086682</v>
      </c>
      <c r="AA58">
        <f t="shared" si="15"/>
        <v>22286.6083690001</v>
      </c>
      <c r="AB58">
        <f t="shared" si="16"/>
        <v>40332.2872409999</v>
      </c>
      <c r="AC58">
        <f t="shared" si="17"/>
        <v>30.25</v>
      </c>
      <c r="AD58">
        <f t="shared" si="18"/>
        <v>9280.04688899993</v>
      </c>
      <c r="AE58">
        <f t="shared" si="19"/>
        <v>57892.2096640001</v>
      </c>
      <c r="AF58">
        <f t="shared" si="20"/>
        <v>52602.798609</v>
      </c>
      <c r="AG58">
        <f t="shared" si="2"/>
        <v>743647.522500001</v>
      </c>
      <c r="AI58">
        <f t="shared" si="21"/>
        <v>2928419.71680614</v>
      </c>
      <c r="AJ58">
        <f t="shared" si="22"/>
        <v>1626669.31122915</v>
      </c>
      <c r="AK58">
        <f t="shared" si="23"/>
        <v>2481926.120569</v>
      </c>
      <c r="AL58">
        <f t="shared" si="24"/>
        <v>3707661.929841</v>
      </c>
      <c r="AM58">
        <f t="shared" si="25"/>
        <v>2955648.64</v>
      </c>
      <c r="AN58">
        <f t="shared" si="26"/>
        <v>3316161.187089</v>
      </c>
      <c r="AO58">
        <f t="shared" si="27"/>
        <v>3862435.534864</v>
      </c>
      <c r="AP58">
        <f t="shared" si="28"/>
        <v>3818323.126809</v>
      </c>
    </row>
    <row r="59" spans="1:42">
      <c r="A59">
        <v>1</v>
      </c>
      <c r="B59">
        <v>18</v>
      </c>
      <c r="C59">
        <v>85</v>
      </c>
      <c r="D59">
        <v>45</v>
      </c>
      <c r="E59">
        <v>60</v>
      </c>
      <c r="F59">
        <v>6265</v>
      </c>
      <c r="G59">
        <v>5667.41799757068</v>
      </c>
      <c r="H59">
        <v>5104.09460224989</v>
      </c>
      <c r="I59">
        <v>5659.677</v>
      </c>
      <c r="J59">
        <v>6306.997</v>
      </c>
      <c r="K59">
        <v>6379.8</v>
      </c>
      <c r="L59">
        <v>6456.8</v>
      </c>
      <c r="M59">
        <v>6033.453</v>
      </c>
      <c r="N59">
        <v>6014.52</v>
      </c>
      <c r="P59">
        <f t="shared" si="4"/>
        <v>597.582002429323</v>
      </c>
      <c r="Q59">
        <f t="shared" si="5"/>
        <v>1160.90539775011</v>
      </c>
      <c r="R59">
        <f t="shared" si="6"/>
        <v>605.323</v>
      </c>
      <c r="S59">
        <f t="shared" si="7"/>
        <v>41.9970000000003</v>
      </c>
      <c r="T59">
        <f t="shared" si="8"/>
        <v>114.8</v>
      </c>
      <c r="U59">
        <f t="shared" si="9"/>
        <v>191.8</v>
      </c>
      <c r="V59">
        <f t="shared" si="10"/>
        <v>231.547</v>
      </c>
      <c r="W59">
        <f t="shared" si="11"/>
        <v>250.48</v>
      </c>
      <c r="X59">
        <f t="shared" si="12"/>
        <v>1806.35</v>
      </c>
      <c r="Y59">
        <f t="shared" si="13"/>
        <v>357104.249627439</v>
      </c>
      <c r="Z59">
        <f t="shared" si="14"/>
        <v>1347701.34252533</v>
      </c>
      <c r="AA59">
        <f t="shared" si="15"/>
        <v>366415.934329</v>
      </c>
      <c r="AB59">
        <f t="shared" si="16"/>
        <v>1763.74800900003</v>
      </c>
      <c r="AC59">
        <f t="shared" si="17"/>
        <v>13179.04</v>
      </c>
      <c r="AD59">
        <f t="shared" si="18"/>
        <v>36787.2400000001</v>
      </c>
      <c r="AE59">
        <f t="shared" si="19"/>
        <v>53614.0132089998</v>
      </c>
      <c r="AF59">
        <f t="shared" si="20"/>
        <v>62740.2303999998</v>
      </c>
      <c r="AG59">
        <f t="shared" si="2"/>
        <v>3262900.3225</v>
      </c>
      <c r="AI59">
        <f t="shared" si="21"/>
        <v>9090936.53927462</v>
      </c>
      <c r="AJ59">
        <f t="shared" si="22"/>
        <v>6011296.77162172</v>
      </c>
      <c r="AK59">
        <f t="shared" si="23"/>
        <v>9044316.420129</v>
      </c>
      <c r="AL59">
        <f t="shared" si="24"/>
        <v>13356810.161809</v>
      </c>
      <c r="AM59">
        <f t="shared" si="25"/>
        <v>13894256.25</v>
      </c>
      <c r="AN59">
        <f t="shared" si="26"/>
        <v>14474220.25</v>
      </c>
      <c r="AO59">
        <f t="shared" si="27"/>
        <v>11432195.609409</v>
      </c>
      <c r="AP59">
        <f t="shared" si="28"/>
        <v>11304523.3284</v>
      </c>
    </row>
    <row r="60" spans="1:42">
      <c r="A60">
        <v>1</v>
      </c>
      <c r="B60">
        <v>18</v>
      </c>
      <c r="C60">
        <v>95</v>
      </c>
      <c r="D60">
        <v>45</v>
      </c>
      <c r="E60">
        <v>60</v>
      </c>
      <c r="F60">
        <v>6347</v>
      </c>
      <c r="G60">
        <v>6027.27338618675</v>
      </c>
      <c r="H60">
        <v>5319.8884637776</v>
      </c>
      <c r="I60">
        <v>6147.641</v>
      </c>
      <c r="J60">
        <v>6419.009</v>
      </c>
      <c r="K60">
        <v>6379.8</v>
      </c>
      <c r="L60">
        <v>6456.8</v>
      </c>
      <c r="M60">
        <v>6362.54</v>
      </c>
      <c r="N60">
        <v>6325.81</v>
      </c>
      <c r="P60">
        <f t="shared" si="4"/>
        <v>319.726613813255</v>
      </c>
      <c r="Q60">
        <f t="shared" si="5"/>
        <v>1027.1115362224</v>
      </c>
      <c r="R60">
        <f t="shared" si="6"/>
        <v>199.359</v>
      </c>
      <c r="S60">
        <f t="shared" si="7"/>
        <v>72.009</v>
      </c>
      <c r="T60">
        <f t="shared" si="8"/>
        <v>32.8000000000002</v>
      </c>
      <c r="U60">
        <f t="shared" si="9"/>
        <v>109.8</v>
      </c>
      <c r="V60">
        <f t="shared" si="10"/>
        <v>15.54</v>
      </c>
      <c r="W60">
        <f t="shared" si="11"/>
        <v>21.1899999999996</v>
      </c>
      <c r="X60">
        <f t="shared" si="12"/>
        <v>1888.35</v>
      </c>
      <c r="Y60">
        <f t="shared" si="13"/>
        <v>102225.10758049</v>
      </c>
      <c r="Z60">
        <f t="shared" si="14"/>
        <v>1054958.10784113</v>
      </c>
      <c r="AA60">
        <f t="shared" si="15"/>
        <v>39744.0108810001</v>
      </c>
      <c r="AB60">
        <f t="shared" si="16"/>
        <v>5185.296081</v>
      </c>
      <c r="AC60">
        <f t="shared" si="17"/>
        <v>1075.84000000001</v>
      </c>
      <c r="AD60">
        <f t="shared" si="18"/>
        <v>12056.04</v>
      </c>
      <c r="AE60">
        <f t="shared" si="19"/>
        <v>241.491599999999</v>
      </c>
      <c r="AF60">
        <f t="shared" si="20"/>
        <v>449.016099999983</v>
      </c>
      <c r="AG60">
        <f t="shared" si="2"/>
        <v>3565865.7225</v>
      </c>
      <c r="AI60">
        <f t="shared" si="21"/>
        <v>11950664.9928035</v>
      </c>
      <c r="AJ60">
        <f t="shared" si="22"/>
        <v>7560236.72013888</v>
      </c>
      <c r="AK60">
        <f t="shared" si="23"/>
        <v>12797368.630281</v>
      </c>
      <c r="AL60">
        <f t="shared" si="24"/>
        <v>14812560.966681</v>
      </c>
      <c r="AM60">
        <f t="shared" si="25"/>
        <v>14512290.25</v>
      </c>
      <c r="AN60">
        <f t="shared" si="26"/>
        <v>15104882.25</v>
      </c>
      <c r="AO60">
        <f t="shared" si="27"/>
        <v>14381084.2176</v>
      </c>
      <c r="AP60">
        <f t="shared" si="28"/>
        <v>14103855.3601</v>
      </c>
    </row>
    <row r="61" spans="1:42">
      <c r="A61">
        <v>1</v>
      </c>
      <c r="B61">
        <v>18</v>
      </c>
      <c r="C61">
        <v>100</v>
      </c>
      <c r="D61">
        <v>45</v>
      </c>
      <c r="E61">
        <v>60</v>
      </c>
      <c r="F61">
        <v>6397</v>
      </c>
      <c r="G61">
        <v>6207.20108049478</v>
      </c>
      <c r="H61">
        <v>5422.45578378259</v>
      </c>
      <c r="I61">
        <v>6391.622</v>
      </c>
      <c r="J61">
        <v>6491.314</v>
      </c>
      <c r="K61">
        <v>6379.8</v>
      </c>
      <c r="L61">
        <v>6456.8</v>
      </c>
      <c r="M61">
        <v>6436.876</v>
      </c>
      <c r="N61">
        <v>6425.631</v>
      </c>
      <c r="P61">
        <f t="shared" si="4"/>
        <v>189.798919505221</v>
      </c>
      <c r="Q61">
        <f t="shared" si="5"/>
        <v>974.544216217409</v>
      </c>
      <c r="R61">
        <f t="shared" si="6"/>
        <v>5.3779999999997</v>
      </c>
      <c r="S61">
        <f t="shared" si="7"/>
        <v>94.3140000000003</v>
      </c>
      <c r="T61">
        <f t="shared" si="8"/>
        <v>17.1999999999998</v>
      </c>
      <c r="U61">
        <f t="shared" si="9"/>
        <v>59.8000000000002</v>
      </c>
      <c r="V61">
        <f t="shared" si="10"/>
        <v>39.8760000000002</v>
      </c>
      <c r="W61">
        <f t="shared" si="11"/>
        <v>28.6310000000003</v>
      </c>
      <c r="X61">
        <f t="shared" si="12"/>
        <v>1938.35</v>
      </c>
      <c r="Y61">
        <f t="shared" si="13"/>
        <v>36023.6298453495</v>
      </c>
      <c r="Z61">
        <f t="shared" si="14"/>
        <v>949736.429362803</v>
      </c>
      <c r="AA61">
        <f t="shared" si="15"/>
        <v>28.9228839999968</v>
      </c>
      <c r="AB61">
        <f t="shared" si="16"/>
        <v>8895.13059600006</v>
      </c>
      <c r="AC61">
        <f t="shared" si="17"/>
        <v>295.839999999994</v>
      </c>
      <c r="AD61">
        <f t="shared" si="18"/>
        <v>3576.04000000002</v>
      </c>
      <c r="AE61">
        <f t="shared" si="19"/>
        <v>1590.09537600002</v>
      </c>
      <c r="AF61">
        <f t="shared" si="20"/>
        <v>819.734161000018</v>
      </c>
      <c r="AG61">
        <f t="shared" si="2"/>
        <v>3757200.7225</v>
      </c>
      <c r="AI61">
        <f t="shared" si="21"/>
        <v>13593239.5773536</v>
      </c>
      <c r="AJ61">
        <f t="shared" si="22"/>
        <v>8422508.19334275</v>
      </c>
      <c r="AK61">
        <f t="shared" si="23"/>
        <v>14987134.027684</v>
      </c>
      <c r="AL61">
        <f t="shared" si="24"/>
        <v>15768952.188196</v>
      </c>
      <c r="AM61">
        <f t="shared" si="25"/>
        <v>14895740.25</v>
      </c>
      <c r="AN61">
        <f t="shared" si="26"/>
        <v>15496032.25</v>
      </c>
      <c r="AO61">
        <f t="shared" si="27"/>
        <v>15339567.563776</v>
      </c>
      <c r="AP61">
        <f t="shared" si="28"/>
        <v>15251610.219561</v>
      </c>
    </row>
    <row r="62" spans="1:42">
      <c r="A62">
        <v>1</v>
      </c>
      <c r="B62">
        <v>18</v>
      </c>
      <c r="C62">
        <v>105</v>
      </c>
      <c r="D62">
        <v>45</v>
      </c>
      <c r="E62">
        <v>60</v>
      </c>
      <c r="F62">
        <v>6434</v>
      </c>
      <c r="G62">
        <v>6387.12877480281</v>
      </c>
      <c r="H62">
        <v>5521.8523074647</v>
      </c>
      <c r="I62">
        <v>6635.604</v>
      </c>
      <c r="J62">
        <v>6496.286</v>
      </c>
      <c r="K62">
        <v>6379.8</v>
      </c>
      <c r="L62">
        <v>6456.8</v>
      </c>
      <c r="M62">
        <v>6454.639</v>
      </c>
      <c r="N62">
        <v>6490.418</v>
      </c>
      <c r="P62">
        <f t="shared" si="4"/>
        <v>46.8712251971883</v>
      </c>
      <c r="Q62">
        <f t="shared" si="5"/>
        <v>912.147692535304</v>
      </c>
      <c r="R62">
        <f t="shared" si="6"/>
        <v>201.604</v>
      </c>
      <c r="S62">
        <f t="shared" si="7"/>
        <v>62.2860000000001</v>
      </c>
      <c r="T62">
        <f t="shared" si="8"/>
        <v>54.1999999999998</v>
      </c>
      <c r="U62">
        <f t="shared" si="9"/>
        <v>22.8000000000002</v>
      </c>
      <c r="V62">
        <f t="shared" si="10"/>
        <v>20.6390000000001</v>
      </c>
      <c r="W62">
        <f t="shared" si="11"/>
        <v>56.4179999999997</v>
      </c>
      <c r="X62">
        <f t="shared" si="12"/>
        <v>1975.35</v>
      </c>
      <c r="Y62">
        <f t="shared" si="13"/>
        <v>2196.91175148554</v>
      </c>
      <c r="Z62">
        <f t="shared" si="14"/>
        <v>832013.41299748</v>
      </c>
      <c r="AA62">
        <f t="shared" si="15"/>
        <v>40644.1728160001</v>
      </c>
      <c r="AB62">
        <f t="shared" si="16"/>
        <v>3879.54579600001</v>
      </c>
      <c r="AC62">
        <f t="shared" si="17"/>
        <v>2937.63999999998</v>
      </c>
      <c r="AD62">
        <f t="shared" si="18"/>
        <v>519.840000000008</v>
      </c>
      <c r="AE62">
        <f t="shared" si="19"/>
        <v>425.968321000005</v>
      </c>
      <c r="AF62">
        <f t="shared" si="20"/>
        <v>3182.99072399996</v>
      </c>
      <c r="AG62">
        <f t="shared" si="2"/>
        <v>3902007.6225</v>
      </c>
      <c r="AI62">
        <f t="shared" si="21"/>
        <v>15239879.1029784</v>
      </c>
      <c r="AJ62">
        <f t="shared" si="22"/>
        <v>9232800.12519903</v>
      </c>
      <c r="AK62">
        <f t="shared" si="23"/>
        <v>17241628.508416</v>
      </c>
      <c r="AL62">
        <f t="shared" si="24"/>
        <v>16104056.636196</v>
      </c>
      <c r="AM62">
        <f t="shared" si="25"/>
        <v>15182712.25</v>
      </c>
      <c r="AN62">
        <f t="shared" si="26"/>
        <v>15788702.25</v>
      </c>
      <c r="AO62">
        <f t="shared" si="27"/>
        <v>15771533.452921</v>
      </c>
      <c r="AP62">
        <f t="shared" si="28"/>
        <v>16056994.665924</v>
      </c>
    </row>
    <row r="63" spans="1:42">
      <c r="A63">
        <v>1</v>
      </c>
      <c r="B63">
        <v>18</v>
      </c>
      <c r="C63">
        <v>110</v>
      </c>
      <c r="D63">
        <v>45</v>
      </c>
      <c r="E63">
        <v>60</v>
      </c>
      <c r="F63">
        <v>6456</v>
      </c>
      <c r="G63">
        <v>6567.05646911085</v>
      </c>
      <c r="H63">
        <v>5618.32034973913</v>
      </c>
      <c r="I63">
        <v>6879.586</v>
      </c>
      <c r="J63">
        <v>6506.824</v>
      </c>
      <c r="K63">
        <v>6379.8</v>
      </c>
      <c r="L63">
        <v>6456.8</v>
      </c>
      <c r="M63">
        <v>6428.705</v>
      </c>
      <c r="N63">
        <v>6522.515</v>
      </c>
      <c r="P63">
        <f t="shared" si="4"/>
        <v>111.056469110847</v>
      </c>
      <c r="Q63">
        <f t="shared" si="5"/>
        <v>837.679650260873</v>
      </c>
      <c r="R63">
        <f t="shared" si="6"/>
        <v>423.586</v>
      </c>
      <c r="S63">
        <f t="shared" si="7"/>
        <v>50.8239999999996</v>
      </c>
      <c r="T63">
        <f t="shared" si="8"/>
        <v>76.1999999999998</v>
      </c>
      <c r="U63">
        <f t="shared" si="9"/>
        <v>0.800000000000182</v>
      </c>
      <c r="V63">
        <f t="shared" si="10"/>
        <v>27.2950000000001</v>
      </c>
      <c r="W63">
        <f t="shared" si="11"/>
        <v>66.5150000000003</v>
      </c>
      <c r="X63">
        <f t="shared" si="12"/>
        <v>1997.35</v>
      </c>
      <c r="Y63">
        <f t="shared" si="13"/>
        <v>12333.5393313684</v>
      </c>
      <c r="Z63">
        <f t="shared" si="14"/>
        <v>701707.196461179</v>
      </c>
      <c r="AA63">
        <f t="shared" si="15"/>
        <v>179425.099396</v>
      </c>
      <c r="AB63">
        <f t="shared" si="16"/>
        <v>2583.07897599996</v>
      </c>
      <c r="AC63">
        <f t="shared" si="17"/>
        <v>5806.43999999997</v>
      </c>
      <c r="AD63">
        <f t="shared" si="18"/>
        <v>0.640000000000291</v>
      </c>
      <c r="AE63">
        <f t="shared" si="19"/>
        <v>745.017025000004</v>
      </c>
      <c r="AF63">
        <f t="shared" si="20"/>
        <v>4424.24522500004</v>
      </c>
      <c r="AG63">
        <f t="shared" si="2"/>
        <v>3989407.0225</v>
      </c>
      <c r="AI63">
        <f t="shared" si="21"/>
        <v>16857236.1836456</v>
      </c>
      <c r="AJ63">
        <f t="shared" si="22"/>
        <v>9966777.48866696</v>
      </c>
      <c r="AK63">
        <f t="shared" si="23"/>
        <v>19521251.177796</v>
      </c>
      <c r="AL63">
        <f t="shared" si="24"/>
        <v>16366264.434576</v>
      </c>
      <c r="AM63">
        <f t="shared" si="25"/>
        <v>15354642.25</v>
      </c>
      <c r="AN63">
        <f t="shared" si="26"/>
        <v>15964020.25</v>
      </c>
      <c r="AO63">
        <f t="shared" si="27"/>
        <v>15740302.434025</v>
      </c>
      <c r="AP63">
        <f t="shared" si="28"/>
        <v>16493467.276225</v>
      </c>
    </row>
    <row r="64" spans="1:42">
      <c r="A64">
        <v>1</v>
      </c>
      <c r="B64">
        <v>18</v>
      </c>
      <c r="C64">
        <v>10</v>
      </c>
      <c r="D64">
        <v>15</v>
      </c>
      <c r="E64">
        <v>120</v>
      </c>
      <c r="F64">
        <v>4505</v>
      </c>
      <c r="G64">
        <v>6376.95138855331</v>
      </c>
      <c r="H64">
        <v>4746.70013666682</v>
      </c>
      <c r="I64">
        <v>5912.512</v>
      </c>
      <c r="J64">
        <v>4830.705</v>
      </c>
      <c r="K64">
        <v>4505</v>
      </c>
      <c r="L64">
        <v>5040.2</v>
      </c>
      <c r="M64">
        <v>4621.077</v>
      </c>
      <c r="N64">
        <v>4925.688</v>
      </c>
      <c r="P64">
        <f t="shared" si="4"/>
        <v>1871.95138855331</v>
      </c>
      <c r="Q64">
        <f t="shared" si="5"/>
        <v>241.700136666824</v>
      </c>
      <c r="R64">
        <f t="shared" si="6"/>
        <v>1407.512</v>
      </c>
      <c r="S64">
        <f t="shared" si="7"/>
        <v>325.705</v>
      </c>
      <c r="T64">
        <f t="shared" si="8"/>
        <v>0</v>
      </c>
      <c r="U64">
        <f t="shared" si="9"/>
        <v>535.2</v>
      </c>
      <c r="V64">
        <f t="shared" si="10"/>
        <v>116.077</v>
      </c>
      <c r="W64">
        <f t="shared" si="11"/>
        <v>420.688</v>
      </c>
      <c r="X64">
        <f t="shared" si="12"/>
        <v>46.3500000000004</v>
      </c>
      <c r="Y64">
        <f t="shared" si="13"/>
        <v>3504202.00110665</v>
      </c>
      <c r="Z64">
        <f t="shared" si="14"/>
        <v>58418.9560647613</v>
      </c>
      <c r="AA64">
        <f t="shared" si="15"/>
        <v>1981090.030144</v>
      </c>
      <c r="AB64">
        <f t="shared" si="16"/>
        <v>106083.747025</v>
      </c>
      <c r="AC64">
        <f t="shared" si="17"/>
        <v>0</v>
      </c>
      <c r="AD64">
        <f t="shared" si="18"/>
        <v>286439.04</v>
      </c>
      <c r="AE64">
        <f t="shared" si="19"/>
        <v>13473.8699290001</v>
      </c>
      <c r="AF64">
        <f t="shared" si="20"/>
        <v>176978.393344</v>
      </c>
      <c r="AG64">
        <f t="shared" si="2"/>
        <v>2148.32250000003</v>
      </c>
      <c r="AI64">
        <f t="shared" si="21"/>
        <v>3859855.07854444</v>
      </c>
      <c r="AJ64">
        <f t="shared" si="22"/>
        <v>111823.451402791</v>
      </c>
      <c r="AK64">
        <f t="shared" si="23"/>
        <v>2250636.044944</v>
      </c>
      <c r="AL64">
        <f t="shared" si="24"/>
        <v>175062.744025001</v>
      </c>
      <c r="AM64">
        <f t="shared" si="25"/>
        <v>8593.29000000014</v>
      </c>
      <c r="AN64">
        <f t="shared" si="26"/>
        <v>394258.410000001</v>
      </c>
      <c r="AO64">
        <f t="shared" si="27"/>
        <v>43587.8357290004</v>
      </c>
      <c r="AP64">
        <f t="shared" si="28"/>
        <v>263567.238544001</v>
      </c>
    </row>
    <row r="65" spans="1:42">
      <c r="A65">
        <v>1</v>
      </c>
      <c r="B65">
        <v>18</v>
      </c>
      <c r="C65">
        <v>15</v>
      </c>
      <c r="D65">
        <v>15</v>
      </c>
      <c r="E65">
        <v>120</v>
      </c>
      <c r="F65">
        <v>5501</v>
      </c>
      <c r="G65">
        <v>6556.87908286134</v>
      </c>
      <c r="H65">
        <v>5520.14515822318</v>
      </c>
      <c r="I65">
        <v>6246.837</v>
      </c>
      <c r="J65">
        <v>5264.485</v>
      </c>
      <c r="K65">
        <v>5501</v>
      </c>
      <c r="L65">
        <v>5040.2</v>
      </c>
      <c r="M65">
        <v>5301.118</v>
      </c>
      <c r="N65">
        <v>5648.856</v>
      </c>
      <c r="P65">
        <f t="shared" si="4"/>
        <v>1055.87908286134</v>
      </c>
      <c r="Q65">
        <f t="shared" si="5"/>
        <v>19.1451582231775</v>
      </c>
      <c r="R65">
        <f t="shared" si="6"/>
        <v>745.837</v>
      </c>
      <c r="S65">
        <f t="shared" si="7"/>
        <v>236.515</v>
      </c>
      <c r="T65">
        <f t="shared" si="8"/>
        <v>0</v>
      </c>
      <c r="U65">
        <f t="shared" si="9"/>
        <v>460.8</v>
      </c>
      <c r="V65">
        <f t="shared" si="10"/>
        <v>199.882</v>
      </c>
      <c r="W65">
        <f t="shared" si="11"/>
        <v>147.856</v>
      </c>
      <c r="X65">
        <f t="shared" si="12"/>
        <v>1042.35</v>
      </c>
      <c r="Y65">
        <f t="shared" si="13"/>
        <v>1114880.6376241</v>
      </c>
      <c r="Z65">
        <f t="shared" si="14"/>
        <v>366.537083390502</v>
      </c>
      <c r="AA65">
        <f t="shared" si="15"/>
        <v>556272.830569001</v>
      </c>
      <c r="AB65">
        <f t="shared" si="16"/>
        <v>55939.3452250002</v>
      </c>
      <c r="AC65">
        <f t="shared" si="17"/>
        <v>0</v>
      </c>
      <c r="AD65">
        <f t="shared" si="18"/>
        <v>212336.64</v>
      </c>
      <c r="AE65">
        <f t="shared" si="19"/>
        <v>39952.8139239998</v>
      </c>
      <c r="AF65">
        <f t="shared" si="20"/>
        <v>21861.3967359999</v>
      </c>
      <c r="AG65">
        <f t="shared" si="2"/>
        <v>1086493.5225</v>
      </c>
      <c r="AI65">
        <f t="shared" si="21"/>
        <v>9863236.97570618</v>
      </c>
      <c r="AJ65">
        <f t="shared" si="22"/>
        <v>4426164.44977911</v>
      </c>
      <c r="AK65">
        <f t="shared" si="23"/>
        <v>8011939.70836901</v>
      </c>
      <c r="AL65">
        <f t="shared" si="24"/>
        <v>3415787.794225</v>
      </c>
      <c r="AM65">
        <f t="shared" si="25"/>
        <v>4345974.09</v>
      </c>
      <c r="AN65">
        <f t="shared" si="26"/>
        <v>2637051.21</v>
      </c>
      <c r="AO65">
        <f t="shared" si="27"/>
        <v>3552538.893124</v>
      </c>
      <c r="AP65">
        <f t="shared" si="28"/>
        <v>4984306.293136</v>
      </c>
    </row>
    <row r="66" spans="1:42">
      <c r="A66">
        <v>1</v>
      </c>
      <c r="B66">
        <v>18</v>
      </c>
      <c r="C66">
        <v>25</v>
      </c>
      <c r="D66">
        <v>15</v>
      </c>
      <c r="E66">
        <v>120</v>
      </c>
      <c r="F66">
        <v>6602</v>
      </c>
      <c r="G66">
        <v>6916.73447147741</v>
      </c>
      <c r="H66">
        <v>6676.43605374243</v>
      </c>
      <c r="I66">
        <v>6915.487</v>
      </c>
      <c r="J66">
        <v>6577.193</v>
      </c>
      <c r="K66">
        <v>6602</v>
      </c>
      <c r="L66">
        <v>7248.667</v>
      </c>
      <c r="M66">
        <v>6954.13</v>
      </c>
      <c r="N66">
        <v>6992.351</v>
      </c>
      <c r="P66">
        <f t="shared" si="4"/>
        <v>314.734471477408</v>
      </c>
      <c r="Q66">
        <f t="shared" si="5"/>
        <v>74.4360537424309</v>
      </c>
      <c r="R66">
        <f t="shared" si="6"/>
        <v>313.487</v>
      </c>
      <c r="S66">
        <f t="shared" si="7"/>
        <v>24.8069999999998</v>
      </c>
      <c r="T66">
        <f t="shared" si="8"/>
        <v>0</v>
      </c>
      <c r="U66">
        <f t="shared" si="9"/>
        <v>646.667</v>
      </c>
      <c r="V66">
        <f t="shared" si="10"/>
        <v>352.13</v>
      </c>
      <c r="W66">
        <f t="shared" si="11"/>
        <v>390.351</v>
      </c>
      <c r="X66">
        <f t="shared" si="12"/>
        <v>2143.35</v>
      </c>
      <c r="Y66">
        <f t="shared" si="13"/>
        <v>99057.7875361634</v>
      </c>
      <c r="Z66">
        <f t="shared" si="14"/>
        <v>5540.72609674606</v>
      </c>
      <c r="AA66">
        <f t="shared" si="15"/>
        <v>98274.0991690001</v>
      </c>
      <c r="AB66">
        <f t="shared" si="16"/>
        <v>615.38724899999</v>
      </c>
      <c r="AC66">
        <f t="shared" si="17"/>
        <v>0</v>
      </c>
      <c r="AD66">
        <f t="shared" si="18"/>
        <v>418178.208889</v>
      </c>
      <c r="AE66">
        <f t="shared" si="19"/>
        <v>123995.5369</v>
      </c>
      <c r="AF66">
        <f t="shared" si="20"/>
        <v>152373.903201</v>
      </c>
      <c r="AG66">
        <f t="shared" ref="AG66:AG121" si="29">(F66-4458.65)^2</f>
        <v>4593949.2225</v>
      </c>
      <c r="AI66">
        <f t="shared" si="21"/>
        <v>21173199.1953006</v>
      </c>
      <c r="AJ66">
        <f t="shared" si="22"/>
        <v>19019507.6792521</v>
      </c>
      <c r="AK66">
        <f t="shared" si="23"/>
        <v>21161720.434969</v>
      </c>
      <c r="AL66">
        <f t="shared" si="24"/>
        <v>18163731.943449</v>
      </c>
      <c r="AM66">
        <f t="shared" si="25"/>
        <v>18375796.89</v>
      </c>
      <c r="AN66">
        <f t="shared" si="26"/>
        <v>24338109.956689</v>
      </c>
      <c r="AO66">
        <f t="shared" si="27"/>
        <v>21518743.7689</v>
      </c>
      <c r="AP66">
        <f t="shared" si="28"/>
        <v>21874806.056601</v>
      </c>
    </row>
    <row r="67" spans="1:42">
      <c r="A67">
        <v>1</v>
      </c>
      <c r="B67">
        <v>18</v>
      </c>
      <c r="C67">
        <v>30</v>
      </c>
      <c r="D67">
        <v>15</v>
      </c>
      <c r="E67">
        <v>120</v>
      </c>
      <c r="F67">
        <v>7722</v>
      </c>
      <c r="G67">
        <v>7096.66216578544</v>
      </c>
      <c r="H67">
        <v>7145.35545361524</v>
      </c>
      <c r="I67">
        <v>7249.813</v>
      </c>
      <c r="J67">
        <v>7910.022</v>
      </c>
      <c r="K67">
        <v>7722</v>
      </c>
      <c r="L67">
        <v>7248.667</v>
      </c>
      <c r="M67">
        <v>7802.439</v>
      </c>
      <c r="N67">
        <v>7595.407</v>
      </c>
      <c r="P67">
        <f t="shared" ref="P67:P121" si="30">ABS($F67-G67)</f>
        <v>625.337834214559</v>
      </c>
      <c r="Q67">
        <f t="shared" ref="Q67:Q121" si="31">ABS($F67-H67)</f>
        <v>576.644546384764</v>
      </c>
      <c r="R67">
        <f t="shared" ref="R67:R121" si="32">ABS($F67-I67)</f>
        <v>472.187</v>
      </c>
      <c r="S67">
        <f t="shared" ref="S67:S121" si="33">ABS($F67-J67)</f>
        <v>188.022</v>
      </c>
      <c r="T67">
        <f t="shared" ref="T67:T121" si="34">ABS($F67-K67)</f>
        <v>0</v>
      </c>
      <c r="U67">
        <f t="shared" ref="U67:U121" si="35">ABS($F67-L67)</f>
        <v>473.333</v>
      </c>
      <c r="V67">
        <f t="shared" ref="V67:V121" si="36">ABS($F67-M67)</f>
        <v>80.4390000000003</v>
      </c>
      <c r="W67">
        <f t="shared" ref="W67:W121" si="37">ABS($F67-N67)</f>
        <v>126.593</v>
      </c>
      <c r="X67">
        <f t="shared" ref="X67:X121" si="38">ABS(F67-4458.65)</f>
        <v>3263.35</v>
      </c>
      <c r="Y67">
        <f t="shared" ref="Y67:Y121" si="39">($F67-G67)^2</f>
        <v>391047.406900155</v>
      </c>
      <c r="Z67">
        <f t="shared" ref="Z67:Z121" si="40">($F67-H67)^2</f>
        <v>332518.93287529</v>
      </c>
      <c r="AA67">
        <f t="shared" ref="AA67:AA121" si="41">($F67-I67)^2</f>
        <v>222960.562969</v>
      </c>
      <c r="AB67">
        <f t="shared" ref="AB67:AB121" si="42">($F67-J67)^2</f>
        <v>35352.272484</v>
      </c>
      <c r="AC67">
        <f t="shared" ref="AC67:AC121" si="43">($F67-K67)^2</f>
        <v>0</v>
      </c>
      <c r="AD67">
        <f t="shared" ref="AD67:AD121" si="44">($F67-L67)^2</f>
        <v>224044.128889</v>
      </c>
      <c r="AE67">
        <f t="shared" ref="AE67:AE121" si="45">($F67-M67)^2</f>
        <v>6470.43272100005</v>
      </c>
      <c r="AF67">
        <f t="shared" ref="AF67:AF121" si="46">($F67-N67)^2</f>
        <v>16025.787649</v>
      </c>
      <c r="AG67">
        <f t="shared" si="29"/>
        <v>10649453.2225</v>
      </c>
      <c r="AI67">
        <f t="shared" ref="AI67:AI121" si="47">(ABS(G67-4458.65)+ABS($F67-4458.65))^2</f>
        <v>34826075.4117638</v>
      </c>
      <c r="AJ67">
        <f t="shared" ref="AJ67:AJ121" si="48">(ABS(H67-4458.65)+ABS($F67-4458.65))^2</f>
        <v>35403159.9010964</v>
      </c>
      <c r="AK67">
        <f t="shared" ref="AK67:AK121" si="49">(ABS(I67-4458.65)+ABS($F67-4458.65))^2</f>
        <v>36657127.667169</v>
      </c>
      <c r="AL67">
        <f t="shared" ref="AL67:AL121" si="50">(ABS(J67-4458.65)+ABS($F67-4458.65))^2</f>
        <v>45087491.537284</v>
      </c>
      <c r="AM67">
        <f t="shared" ref="AM67:AM121" si="51">(ABS(K67-4458.65)+ABS($F67-4458.65))^2</f>
        <v>42597812.89</v>
      </c>
      <c r="AN67">
        <f t="shared" ref="AN67:AN121" si="52">(ABS(L67-4458.65)+ABS($F67-4458.65))^2</f>
        <v>36643252.036689</v>
      </c>
      <c r="AO67">
        <f t="shared" ref="AO67:AO121" si="53">(ABS(M67-4458.65)+ABS($F67-4458.65))^2</f>
        <v>43654285.765321</v>
      </c>
      <c r="AP67">
        <f t="shared" ref="AP67:AP121" si="54">(ABS(N67-4458.65)+ABS($F67-4458.65))^2</f>
        <v>40961369.611449</v>
      </c>
    </row>
    <row r="68" spans="1:42">
      <c r="A68">
        <v>1</v>
      </c>
      <c r="B68">
        <v>18</v>
      </c>
      <c r="C68">
        <v>35</v>
      </c>
      <c r="D68">
        <v>15</v>
      </c>
      <c r="E68">
        <v>120</v>
      </c>
      <c r="F68">
        <v>9031</v>
      </c>
      <c r="G68">
        <v>7276.58986009348</v>
      </c>
      <c r="H68">
        <v>7567.424549979</v>
      </c>
      <c r="I68">
        <v>7968.722</v>
      </c>
      <c r="J68">
        <v>8840.682</v>
      </c>
      <c r="K68">
        <v>9074</v>
      </c>
      <c r="L68">
        <v>8914.6</v>
      </c>
      <c r="M68">
        <v>8558.433</v>
      </c>
      <c r="N68">
        <v>8143.473</v>
      </c>
      <c r="P68">
        <f t="shared" si="30"/>
        <v>1754.41013990652</v>
      </c>
      <c r="Q68">
        <f t="shared" si="31"/>
        <v>1463.575450021</v>
      </c>
      <c r="R68">
        <f t="shared" si="32"/>
        <v>1062.278</v>
      </c>
      <c r="S68">
        <f t="shared" si="33"/>
        <v>190.317999999999</v>
      </c>
      <c r="T68">
        <f t="shared" si="34"/>
        <v>43</v>
      </c>
      <c r="U68">
        <f t="shared" si="35"/>
        <v>116.4</v>
      </c>
      <c r="V68">
        <f t="shared" si="36"/>
        <v>472.566999999999</v>
      </c>
      <c r="W68">
        <f t="shared" si="37"/>
        <v>887.527</v>
      </c>
      <c r="X68">
        <f t="shared" si="38"/>
        <v>4572.35</v>
      </c>
      <c r="Y68">
        <f t="shared" si="39"/>
        <v>3077954.93900683</v>
      </c>
      <c r="Z68">
        <f t="shared" si="40"/>
        <v>2142053.09790417</v>
      </c>
      <c r="AA68">
        <f t="shared" si="41"/>
        <v>1128434.549284</v>
      </c>
      <c r="AB68">
        <f t="shared" si="42"/>
        <v>36220.9411239997</v>
      </c>
      <c r="AC68">
        <f t="shared" si="43"/>
        <v>1849</v>
      </c>
      <c r="AD68">
        <f t="shared" si="44"/>
        <v>13548.9599999999</v>
      </c>
      <c r="AE68">
        <f t="shared" si="45"/>
        <v>223319.569488999</v>
      </c>
      <c r="AF68">
        <f t="shared" si="46"/>
        <v>787704.175729</v>
      </c>
      <c r="AG68">
        <f t="shared" si="29"/>
        <v>20906384.5225</v>
      </c>
      <c r="AI68">
        <f t="shared" si="47"/>
        <v>54616384.2162005</v>
      </c>
      <c r="AJ68">
        <f t="shared" si="48"/>
        <v>58999674.3522901</v>
      </c>
      <c r="AK68">
        <f t="shared" si="49"/>
        <v>65325545.386084</v>
      </c>
      <c r="AL68">
        <f t="shared" si="50"/>
        <v>80180957.001924</v>
      </c>
      <c r="AM68">
        <f t="shared" si="51"/>
        <v>84413831.29</v>
      </c>
      <c r="AN68">
        <f t="shared" si="52"/>
        <v>81510200.89</v>
      </c>
      <c r="AO68">
        <f t="shared" si="53"/>
        <v>75205890.769689</v>
      </c>
      <c r="AP68">
        <f t="shared" si="54"/>
        <v>68180905.951929</v>
      </c>
    </row>
    <row r="69" spans="1:42">
      <c r="A69">
        <v>1</v>
      </c>
      <c r="B69">
        <v>18</v>
      </c>
      <c r="C69">
        <v>40</v>
      </c>
      <c r="D69">
        <v>15</v>
      </c>
      <c r="E69">
        <v>120</v>
      </c>
      <c r="F69">
        <v>9117</v>
      </c>
      <c r="G69">
        <v>7456.51755440151</v>
      </c>
      <c r="H69">
        <v>7953.13724281467</v>
      </c>
      <c r="I69">
        <v>8146.098</v>
      </c>
      <c r="J69">
        <v>8762.587</v>
      </c>
      <c r="K69">
        <v>9074</v>
      </c>
      <c r="L69">
        <v>8914.6</v>
      </c>
      <c r="M69">
        <v>9155.328</v>
      </c>
      <c r="N69">
        <v>8631.63</v>
      </c>
      <c r="P69">
        <f t="shared" si="30"/>
        <v>1660.48244559849</v>
      </c>
      <c r="Q69">
        <f t="shared" si="31"/>
        <v>1163.86275718533</v>
      </c>
      <c r="R69">
        <f t="shared" si="32"/>
        <v>970.902</v>
      </c>
      <c r="S69">
        <f t="shared" si="33"/>
        <v>354.413</v>
      </c>
      <c r="T69">
        <f t="shared" si="34"/>
        <v>43</v>
      </c>
      <c r="U69">
        <f t="shared" si="35"/>
        <v>202.4</v>
      </c>
      <c r="V69">
        <f t="shared" si="36"/>
        <v>38.3279999999995</v>
      </c>
      <c r="W69">
        <f t="shared" si="37"/>
        <v>485.370000000001</v>
      </c>
      <c r="X69">
        <f t="shared" si="38"/>
        <v>4658.35</v>
      </c>
      <c r="Y69">
        <f t="shared" si="39"/>
        <v>2757201.95214074</v>
      </c>
      <c r="Z69">
        <f t="shared" si="40"/>
        <v>1354576.51756304</v>
      </c>
      <c r="AA69">
        <f t="shared" si="41"/>
        <v>942650.693604</v>
      </c>
      <c r="AB69">
        <f t="shared" si="42"/>
        <v>125608.574569</v>
      </c>
      <c r="AC69">
        <f t="shared" si="43"/>
        <v>1849</v>
      </c>
      <c r="AD69">
        <f t="shared" si="44"/>
        <v>40965.7599999998</v>
      </c>
      <c r="AE69">
        <f t="shared" si="45"/>
        <v>1469.03558399996</v>
      </c>
      <c r="AF69">
        <f t="shared" si="46"/>
        <v>235584.036900001</v>
      </c>
      <c r="AG69">
        <f t="shared" si="29"/>
        <v>21700224.7225</v>
      </c>
      <c r="AI69">
        <f t="shared" si="47"/>
        <v>58617667.2403258</v>
      </c>
      <c r="AJ69">
        <f t="shared" si="48"/>
        <v>66468755.1078259</v>
      </c>
      <c r="AK69">
        <f t="shared" si="49"/>
        <v>69652344.256804</v>
      </c>
      <c r="AL69">
        <f t="shared" si="50"/>
        <v>80322588.270369</v>
      </c>
      <c r="AM69">
        <f t="shared" si="51"/>
        <v>86001511.69</v>
      </c>
      <c r="AN69">
        <f t="shared" si="52"/>
        <v>83070464.49</v>
      </c>
      <c r="AO69">
        <f t="shared" si="53"/>
        <v>87516548.880784</v>
      </c>
      <c r="AP69">
        <f t="shared" si="54"/>
        <v>77992389.5689</v>
      </c>
    </row>
    <row r="70" spans="1:42">
      <c r="A70">
        <v>1</v>
      </c>
      <c r="B70">
        <v>18</v>
      </c>
      <c r="C70">
        <v>55</v>
      </c>
      <c r="D70">
        <v>15</v>
      </c>
      <c r="E70">
        <v>120</v>
      </c>
      <c r="F70">
        <v>9810</v>
      </c>
      <c r="G70">
        <v>7996.30063732561</v>
      </c>
      <c r="H70">
        <v>8954.23551190136</v>
      </c>
      <c r="I70">
        <v>8802.066</v>
      </c>
      <c r="J70">
        <v>9662.935</v>
      </c>
      <c r="K70">
        <v>9902</v>
      </c>
      <c r="L70">
        <v>9853.824</v>
      </c>
      <c r="M70">
        <v>9885.361</v>
      </c>
      <c r="N70">
        <v>9712.954</v>
      </c>
      <c r="P70">
        <f t="shared" si="30"/>
        <v>1813.69936267439</v>
      </c>
      <c r="Q70">
        <f t="shared" si="31"/>
        <v>855.764488098641</v>
      </c>
      <c r="R70">
        <f t="shared" si="32"/>
        <v>1007.934</v>
      </c>
      <c r="S70">
        <f t="shared" si="33"/>
        <v>147.065000000001</v>
      </c>
      <c r="T70">
        <f t="shared" si="34"/>
        <v>92</v>
      </c>
      <c r="U70">
        <f t="shared" si="35"/>
        <v>43.8240000000005</v>
      </c>
      <c r="V70">
        <f t="shared" si="36"/>
        <v>75.3610000000008</v>
      </c>
      <c r="W70">
        <f t="shared" si="37"/>
        <v>97.0460000000003</v>
      </c>
      <c r="X70">
        <f t="shared" si="38"/>
        <v>5351.35</v>
      </c>
      <c r="Y70">
        <f t="shared" si="39"/>
        <v>3289505.37816549</v>
      </c>
      <c r="Z70">
        <f t="shared" si="40"/>
        <v>732332.859090729</v>
      </c>
      <c r="AA70">
        <f t="shared" si="41"/>
        <v>1015930.948356</v>
      </c>
      <c r="AB70">
        <f t="shared" si="42"/>
        <v>21628.1142250002</v>
      </c>
      <c r="AC70">
        <f t="shared" si="43"/>
        <v>8464</v>
      </c>
      <c r="AD70">
        <f t="shared" si="44"/>
        <v>1920.54297600005</v>
      </c>
      <c r="AE70">
        <f t="shared" si="45"/>
        <v>5679.28032100012</v>
      </c>
      <c r="AF70">
        <f t="shared" si="46"/>
        <v>9417.92611600005</v>
      </c>
      <c r="AG70">
        <f t="shared" si="29"/>
        <v>28636946.8225</v>
      </c>
      <c r="AI70">
        <f t="shared" si="47"/>
        <v>79014332.3303751</v>
      </c>
      <c r="AJ70">
        <f t="shared" si="48"/>
        <v>96962138.9755441</v>
      </c>
      <c r="AK70">
        <f t="shared" si="49"/>
        <v>93988487.794756</v>
      </c>
      <c r="AL70">
        <f t="shared" si="50"/>
        <v>111421430.253225</v>
      </c>
      <c r="AM70">
        <f t="shared" si="51"/>
        <v>116525548.09</v>
      </c>
      <c r="AN70">
        <f t="shared" si="52"/>
        <v>115487778.082576</v>
      </c>
      <c r="AO70">
        <f t="shared" si="53"/>
        <v>116166598.919721</v>
      </c>
      <c r="AP70">
        <f t="shared" si="54"/>
        <v>112479896.767716</v>
      </c>
    </row>
    <row r="71" spans="1:42">
      <c r="A71">
        <v>1</v>
      </c>
      <c r="B71">
        <v>18</v>
      </c>
      <c r="C71">
        <v>60</v>
      </c>
      <c r="D71">
        <v>15</v>
      </c>
      <c r="E71">
        <v>120</v>
      </c>
      <c r="F71">
        <v>9876</v>
      </c>
      <c r="G71">
        <v>8176.22833163365</v>
      </c>
      <c r="H71">
        <v>9249.05108382021</v>
      </c>
      <c r="I71">
        <v>8972.948</v>
      </c>
      <c r="J71">
        <v>9811.793</v>
      </c>
      <c r="K71">
        <v>9902</v>
      </c>
      <c r="L71">
        <v>9853.824</v>
      </c>
      <c r="M71">
        <v>9902.53</v>
      </c>
      <c r="N71">
        <v>9946.124</v>
      </c>
      <c r="P71">
        <f t="shared" si="30"/>
        <v>1699.77166836635</v>
      </c>
      <c r="Q71">
        <f t="shared" si="31"/>
        <v>626.948916179786</v>
      </c>
      <c r="R71">
        <f t="shared" si="32"/>
        <v>903.052</v>
      </c>
      <c r="S71">
        <f t="shared" si="33"/>
        <v>64.2070000000003</v>
      </c>
      <c r="T71">
        <f t="shared" si="34"/>
        <v>26</v>
      </c>
      <c r="U71">
        <f t="shared" si="35"/>
        <v>22.1759999999995</v>
      </c>
      <c r="V71">
        <f t="shared" si="36"/>
        <v>26.5300000000007</v>
      </c>
      <c r="W71">
        <f t="shared" si="37"/>
        <v>70.1239999999998</v>
      </c>
      <c r="X71">
        <f t="shared" si="38"/>
        <v>5417.35</v>
      </c>
      <c r="Y71">
        <f t="shared" si="39"/>
        <v>2889223.72458094</v>
      </c>
      <c r="Z71">
        <f t="shared" si="40"/>
        <v>393064.943499009</v>
      </c>
      <c r="AA71">
        <f t="shared" si="41"/>
        <v>815502.914703999</v>
      </c>
      <c r="AB71">
        <f t="shared" si="42"/>
        <v>4122.53884900004</v>
      </c>
      <c r="AC71">
        <f t="shared" si="43"/>
        <v>676</v>
      </c>
      <c r="AD71">
        <f t="shared" si="44"/>
        <v>491.774975999977</v>
      </c>
      <c r="AE71">
        <f t="shared" si="45"/>
        <v>703.840900000035</v>
      </c>
      <c r="AF71">
        <f t="shared" si="46"/>
        <v>4917.37537599997</v>
      </c>
      <c r="AG71">
        <f t="shared" si="29"/>
        <v>29347681.0225</v>
      </c>
      <c r="AI71">
        <f t="shared" si="47"/>
        <v>83446915.6240831</v>
      </c>
      <c r="AJ71">
        <f t="shared" si="48"/>
        <v>104198182.189233</v>
      </c>
      <c r="AK71">
        <f t="shared" si="49"/>
        <v>98637631.995904</v>
      </c>
      <c r="AL71">
        <f t="shared" si="50"/>
        <v>116003519.463049</v>
      </c>
      <c r="AM71">
        <f t="shared" si="51"/>
        <v>117954804.49</v>
      </c>
      <c r="AN71">
        <f t="shared" si="52"/>
        <v>116910675.250576</v>
      </c>
      <c r="AO71">
        <f t="shared" si="53"/>
        <v>117966317.1129</v>
      </c>
      <c r="AP71">
        <f t="shared" si="54"/>
        <v>118915186.470976</v>
      </c>
    </row>
    <row r="72" spans="1:42">
      <c r="A72">
        <v>1</v>
      </c>
      <c r="B72">
        <v>18</v>
      </c>
      <c r="C72">
        <v>65</v>
      </c>
      <c r="D72">
        <v>15</v>
      </c>
      <c r="E72">
        <v>120</v>
      </c>
      <c r="F72">
        <v>9884</v>
      </c>
      <c r="G72">
        <v>8356.15602594168</v>
      </c>
      <c r="H72">
        <v>9528.81939436499</v>
      </c>
      <c r="I72">
        <v>9143.83</v>
      </c>
      <c r="J72">
        <v>9897.482</v>
      </c>
      <c r="K72">
        <v>9902</v>
      </c>
      <c r="L72">
        <v>9853.824</v>
      </c>
      <c r="M72">
        <v>9892.718</v>
      </c>
      <c r="N72">
        <v>10119.7</v>
      </c>
      <c r="P72">
        <f t="shared" si="30"/>
        <v>1527.84397405832</v>
      </c>
      <c r="Q72">
        <f t="shared" si="31"/>
        <v>355.180605635005</v>
      </c>
      <c r="R72">
        <f t="shared" si="32"/>
        <v>740.17</v>
      </c>
      <c r="S72">
        <f t="shared" si="33"/>
        <v>13.482</v>
      </c>
      <c r="T72">
        <f t="shared" si="34"/>
        <v>18</v>
      </c>
      <c r="U72">
        <f t="shared" si="35"/>
        <v>30.1759999999995</v>
      </c>
      <c r="V72">
        <f t="shared" si="36"/>
        <v>8.71800000000076</v>
      </c>
      <c r="W72">
        <f t="shared" si="37"/>
        <v>235.700000000001</v>
      </c>
      <c r="X72">
        <f t="shared" si="38"/>
        <v>5425.35</v>
      </c>
      <c r="Y72">
        <f t="shared" si="39"/>
        <v>2334307.20906633</v>
      </c>
      <c r="Z72">
        <f t="shared" si="40"/>
        <v>126153.262619249</v>
      </c>
      <c r="AA72">
        <f t="shared" si="41"/>
        <v>547851.6289</v>
      </c>
      <c r="AB72">
        <f t="shared" si="42"/>
        <v>181.764323999999</v>
      </c>
      <c r="AC72">
        <f t="shared" si="43"/>
        <v>324</v>
      </c>
      <c r="AD72">
        <f t="shared" si="44"/>
        <v>910.590975999968</v>
      </c>
      <c r="AE72">
        <f t="shared" si="45"/>
        <v>76.0035240000132</v>
      </c>
      <c r="AF72">
        <f t="shared" si="46"/>
        <v>55554.4900000003</v>
      </c>
      <c r="AG72">
        <f t="shared" si="29"/>
        <v>29434422.6225</v>
      </c>
      <c r="AI72">
        <f t="shared" si="47"/>
        <v>86915644.4804371</v>
      </c>
      <c r="AJ72">
        <f t="shared" si="48"/>
        <v>110155927.357492</v>
      </c>
      <c r="AK72">
        <f t="shared" si="49"/>
        <v>102222816.8809</v>
      </c>
      <c r="AL72">
        <f t="shared" si="50"/>
        <v>118030450.529124</v>
      </c>
      <c r="AM72">
        <f t="shared" si="51"/>
        <v>118128639.69</v>
      </c>
      <c r="AN72">
        <f t="shared" si="52"/>
        <v>117083739.634576</v>
      </c>
      <c r="AO72">
        <f t="shared" si="53"/>
        <v>117926959.298724</v>
      </c>
      <c r="AP72">
        <f t="shared" si="54"/>
        <v>122908264.96</v>
      </c>
    </row>
    <row r="73" spans="1:42">
      <c r="A73">
        <v>1</v>
      </c>
      <c r="B73">
        <v>18</v>
      </c>
      <c r="C73">
        <v>70</v>
      </c>
      <c r="D73">
        <v>15</v>
      </c>
      <c r="E73">
        <v>120</v>
      </c>
      <c r="F73">
        <v>9942</v>
      </c>
      <c r="G73">
        <v>8536.08372024971</v>
      </c>
      <c r="H73">
        <v>9795.38340535576</v>
      </c>
      <c r="I73">
        <v>9314.713</v>
      </c>
      <c r="J73">
        <v>9866.431</v>
      </c>
      <c r="K73">
        <v>9902</v>
      </c>
      <c r="L73">
        <v>9853.824</v>
      </c>
      <c r="M73">
        <v>9889.379</v>
      </c>
      <c r="N73">
        <v>10238.043</v>
      </c>
      <c r="P73">
        <f t="shared" si="30"/>
        <v>1405.91627975029</v>
      </c>
      <c r="Q73">
        <f t="shared" si="31"/>
        <v>146.616594644236</v>
      </c>
      <c r="R73">
        <f t="shared" si="32"/>
        <v>627.287</v>
      </c>
      <c r="S73">
        <f t="shared" si="33"/>
        <v>75.5689999999995</v>
      </c>
      <c r="T73">
        <f t="shared" si="34"/>
        <v>40</v>
      </c>
      <c r="U73">
        <f t="shared" si="35"/>
        <v>88.1759999999995</v>
      </c>
      <c r="V73">
        <f t="shared" si="36"/>
        <v>52.6209999999992</v>
      </c>
      <c r="W73">
        <f t="shared" si="37"/>
        <v>296.043</v>
      </c>
      <c r="X73">
        <f t="shared" si="38"/>
        <v>5483.35</v>
      </c>
      <c r="Y73">
        <f t="shared" si="39"/>
        <v>1976600.58566689</v>
      </c>
      <c r="Z73">
        <f t="shared" si="40"/>
        <v>21496.4258250722</v>
      </c>
      <c r="AA73">
        <f t="shared" si="41"/>
        <v>393488.980369</v>
      </c>
      <c r="AB73">
        <f t="shared" si="42"/>
        <v>5710.67376099993</v>
      </c>
      <c r="AC73">
        <f t="shared" si="43"/>
        <v>1600</v>
      </c>
      <c r="AD73">
        <f t="shared" si="44"/>
        <v>7775.00697599991</v>
      </c>
      <c r="AE73">
        <f t="shared" si="45"/>
        <v>2768.96964099991</v>
      </c>
      <c r="AF73">
        <f t="shared" si="46"/>
        <v>87641.4578489998</v>
      </c>
      <c r="AG73">
        <f t="shared" si="29"/>
        <v>30067127.2225</v>
      </c>
      <c r="AI73">
        <f t="shared" si="47"/>
        <v>91408585.345392</v>
      </c>
      <c r="AJ73">
        <f t="shared" si="48"/>
        <v>117074204.898855</v>
      </c>
      <c r="AK73">
        <f t="shared" si="49"/>
        <v>106903461.184569</v>
      </c>
      <c r="AL73">
        <f t="shared" si="50"/>
        <v>118616734.459161</v>
      </c>
      <c r="AM73">
        <f t="shared" si="51"/>
        <v>119392772.89</v>
      </c>
      <c r="AN73">
        <f t="shared" si="52"/>
        <v>118342284.418576</v>
      </c>
      <c r="AO73">
        <f t="shared" si="53"/>
        <v>119117120.418241</v>
      </c>
      <c r="AP73">
        <f t="shared" si="54"/>
        <v>126849379.884049</v>
      </c>
    </row>
    <row r="74" spans="1:42">
      <c r="A74">
        <v>1</v>
      </c>
      <c r="B74">
        <v>18</v>
      </c>
      <c r="C74">
        <v>85</v>
      </c>
      <c r="D74">
        <v>15</v>
      </c>
      <c r="E74">
        <v>120</v>
      </c>
      <c r="F74">
        <v>9998</v>
      </c>
      <c r="G74">
        <v>9075.86680317381</v>
      </c>
      <c r="H74">
        <v>10529.653247189</v>
      </c>
      <c r="I74">
        <v>9827.359</v>
      </c>
      <c r="J74">
        <v>9963.756</v>
      </c>
      <c r="K74">
        <v>9902</v>
      </c>
      <c r="L74">
        <v>9853.824</v>
      </c>
      <c r="M74">
        <v>10010.907</v>
      </c>
      <c r="N74">
        <v>10318.382</v>
      </c>
      <c r="P74">
        <f t="shared" si="30"/>
        <v>922.133196826186</v>
      </c>
      <c r="Q74">
        <f t="shared" si="31"/>
        <v>531.653247189004</v>
      </c>
      <c r="R74">
        <f t="shared" si="32"/>
        <v>170.641</v>
      </c>
      <c r="S74">
        <f t="shared" si="33"/>
        <v>34.2440000000006</v>
      </c>
      <c r="T74">
        <f t="shared" si="34"/>
        <v>96</v>
      </c>
      <c r="U74">
        <f t="shared" si="35"/>
        <v>144.175999999999</v>
      </c>
      <c r="V74">
        <f t="shared" si="36"/>
        <v>12.9069999999992</v>
      </c>
      <c r="W74">
        <f t="shared" si="37"/>
        <v>320.382</v>
      </c>
      <c r="X74">
        <f t="shared" si="38"/>
        <v>5539.35</v>
      </c>
      <c r="Y74">
        <f t="shared" si="39"/>
        <v>850329.632688881</v>
      </c>
      <c r="Z74">
        <f t="shared" si="40"/>
        <v>282655.175246612</v>
      </c>
      <c r="AA74">
        <f t="shared" si="41"/>
        <v>29118.3508809999</v>
      </c>
      <c r="AB74">
        <f t="shared" si="42"/>
        <v>1172.65153600004</v>
      </c>
      <c r="AC74">
        <f t="shared" si="43"/>
        <v>9216</v>
      </c>
      <c r="AD74">
        <f t="shared" si="44"/>
        <v>20786.7189759998</v>
      </c>
      <c r="AE74">
        <f t="shared" si="45"/>
        <v>166.59064899998</v>
      </c>
      <c r="AF74">
        <f t="shared" si="46"/>
        <v>102644.625924</v>
      </c>
      <c r="AG74">
        <f t="shared" si="29"/>
        <v>30684398.4225</v>
      </c>
      <c r="AI74">
        <f t="shared" si="47"/>
        <v>103155849.227332</v>
      </c>
      <c r="AJ74">
        <f t="shared" si="48"/>
        <v>134800302.524512</v>
      </c>
      <c r="AK74">
        <f t="shared" si="49"/>
        <v>118985751.147481</v>
      </c>
      <c r="AL74">
        <f t="shared" si="50"/>
        <v>121980008.335936</v>
      </c>
      <c r="AM74">
        <f t="shared" si="51"/>
        <v>120619699.29</v>
      </c>
      <c r="AN74">
        <f t="shared" si="52"/>
        <v>119563815.106576</v>
      </c>
      <c r="AO74">
        <f t="shared" si="53"/>
        <v>123023745.842449</v>
      </c>
      <c r="AP74">
        <f t="shared" si="54"/>
        <v>129939070.442724</v>
      </c>
    </row>
    <row r="75" spans="1:42">
      <c r="A75">
        <v>1</v>
      </c>
      <c r="B75">
        <v>18</v>
      </c>
      <c r="C75">
        <v>95</v>
      </c>
      <c r="D75">
        <v>15</v>
      </c>
      <c r="E75">
        <v>120</v>
      </c>
      <c r="F75">
        <v>10141</v>
      </c>
      <c r="G75">
        <v>9435.72219178988</v>
      </c>
      <c r="H75">
        <v>10974.8320128328</v>
      </c>
      <c r="I75">
        <v>10169.124</v>
      </c>
      <c r="J75">
        <v>10065.325</v>
      </c>
      <c r="K75">
        <v>10150.667</v>
      </c>
      <c r="L75">
        <v>9853.824</v>
      </c>
      <c r="M75">
        <v>10136.959</v>
      </c>
      <c r="N75">
        <v>10207.574</v>
      </c>
      <c r="P75">
        <f t="shared" si="30"/>
        <v>705.277808210118</v>
      </c>
      <c r="Q75">
        <f t="shared" si="31"/>
        <v>833.832012832789</v>
      </c>
      <c r="R75">
        <f t="shared" si="32"/>
        <v>28.1239999999998</v>
      </c>
      <c r="S75">
        <f t="shared" si="33"/>
        <v>75.6749999999993</v>
      </c>
      <c r="T75">
        <f t="shared" si="34"/>
        <v>9.66699999999946</v>
      </c>
      <c r="U75">
        <f t="shared" si="35"/>
        <v>287.175999999999</v>
      </c>
      <c r="V75">
        <f t="shared" si="36"/>
        <v>4.04099999999926</v>
      </c>
      <c r="W75">
        <f t="shared" si="37"/>
        <v>66.5740000000005</v>
      </c>
      <c r="X75">
        <f t="shared" si="38"/>
        <v>5682.35</v>
      </c>
      <c r="Y75">
        <f t="shared" si="39"/>
        <v>497416.786753668</v>
      </c>
      <c r="Z75">
        <f t="shared" si="40"/>
        <v>695275.82562478</v>
      </c>
      <c r="AA75">
        <f t="shared" si="41"/>
        <v>790.959375999989</v>
      </c>
      <c r="AB75">
        <f t="shared" si="42"/>
        <v>5726.70562499989</v>
      </c>
      <c r="AC75">
        <f t="shared" si="43"/>
        <v>93.4508889999896</v>
      </c>
      <c r="AD75">
        <f t="shared" si="44"/>
        <v>82470.0549759997</v>
      </c>
      <c r="AE75">
        <f t="shared" si="45"/>
        <v>16.329680999994</v>
      </c>
      <c r="AF75">
        <f t="shared" si="46"/>
        <v>4432.09747600007</v>
      </c>
      <c r="AG75">
        <f t="shared" si="29"/>
        <v>32289101.5225</v>
      </c>
      <c r="AI75">
        <f t="shared" si="47"/>
        <v>113623281.462823</v>
      </c>
      <c r="AJ75">
        <f t="shared" si="48"/>
        <v>148804183.268106</v>
      </c>
      <c r="AK75">
        <f t="shared" si="49"/>
        <v>129796438.694976</v>
      </c>
      <c r="AL75">
        <f t="shared" si="50"/>
        <v>127442085.450625</v>
      </c>
      <c r="AM75">
        <f t="shared" si="51"/>
        <v>129376224.650689</v>
      </c>
      <c r="AN75">
        <f t="shared" si="52"/>
        <v>122711537.970576</v>
      </c>
      <c r="AO75">
        <f t="shared" si="53"/>
        <v>129064572.914281</v>
      </c>
      <c r="AP75">
        <f t="shared" si="54"/>
        <v>130674025.263076</v>
      </c>
    </row>
    <row r="76" spans="1:42">
      <c r="A76">
        <v>1</v>
      </c>
      <c r="B76">
        <v>18</v>
      </c>
      <c r="C76">
        <v>105</v>
      </c>
      <c r="D76">
        <v>15</v>
      </c>
      <c r="E76">
        <v>120</v>
      </c>
      <c r="F76">
        <v>10152</v>
      </c>
      <c r="G76">
        <v>9795.57758040595</v>
      </c>
      <c r="H76">
        <v>11391.4797061489</v>
      </c>
      <c r="I76">
        <v>10510.889</v>
      </c>
      <c r="J76">
        <v>10104.265</v>
      </c>
      <c r="K76">
        <v>10150.667</v>
      </c>
      <c r="L76">
        <v>9853.824</v>
      </c>
      <c r="M76">
        <v>10166.26</v>
      </c>
      <c r="N76">
        <v>10025.129</v>
      </c>
      <c r="P76">
        <f t="shared" si="30"/>
        <v>356.422419594051</v>
      </c>
      <c r="Q76">
        <f t="shared" si="31"/>
        <v>1239.47970614889</v>
      </c>
      <c r="R76">
        <f t="shared" si="32"/>
        <v>358.888999999999</v>
      </c>
      <c r="S76">
        <f t="shared" si="33"/>
        <v>47.7350000000006</v>
      </c>
      <c r="T76">
        <f t="shared" si="34"/>
        <v>1.33300000000054</v>
      </c>
      <c r="U76">
        <f t="shared" si="35"/>
        <v>298.175999999999</v>
      </c>
      <c r="V76">
        <f t="shared" si="36"/>
        <v>14.2600000000002</v>
      </c>
      <c r="W76">
        <f t="shared" si="37"/>
        <v>126.870999999999</v>
      </c>
      <c r="X76">
        <f t="shared" si="38"/>
        <v>5693.35</v>
      </c>
      <c r="Y76">
        <f t="shared" si="39"/>
        <v>127036.941189278</v>
      </c>
      <c r="Z76">
        <f t="shared" si="40"/>
        <v>1536309.94195493</v>
      </c>
      <c r="AA76">
        <f t="shared" si="41"/>
        <v>128801.314320999</v>
      </c>
      <c r="AB76">
        <f t="shared" si="42"/>
        <v>2278.63022500006</v>
      </c>
      <c r="AC76">
        <f t="shared" si="43"/>
        <v>1.77688900000144</v>
      </c>
      <c r="AD76">
        <f t="shared" si="44"/>
        <v>88908.9269759997</v>
      </c>
      <c r="AE76">
        <f t="shared" si="45"/>
        <v>203.347600000006</v>
      </c>
      <c r="AF76">
        <f t="shared" si="46"/>
        <v>16096.2506409998</v>
      </c>
      <c r="AG76">
        <f t="shared" si="29"/>
        <v>32414234.2225</v>
      </c>
      <c r="AI76">
        <f t="shared" si="47"/>
        <v>121667023.500806</v>
      </c>
      <c r="AJ76">
        <f t="shared" si="48"/>
        <v>159420413.971966</v>
      </c>
      <c r="AK76">
        <f t="shared" si="49"/>
        <v>137958860.956921</v>
      </c>
      <c r="AL76">
        <f t="shared" si="50"/>
        <v>128572127.271225</v>
      </c>
      <c r="AM76">
        <f t="shared" si="51"/>
        <v>129626581.724689</v>
      </c>
      <c r="AN76">
        <f t="shared" si="52"/>
        <v>122955364.498576</v>
      </c>
      <c r="AO76">
        <f t="shared" si="53"/>
        <v>129981888.9216</v>
      </c>
      <c r="AP76">
        <f t="shared" si="54"/>
        <v>126783749.109241</v>
      </c>
    </row>
    <row r="77" spans="1:42">
      <c r="A77">
        <v>1</v>
      </c>
      <c r="B77">
        <v>18</v>
      </c>
      <c r="C77">
        <v>110</v>
      </c>
      <c r="D77">
        <v>15</v>
      </c>
      <c r="E77">
        <v>120</v>
      </c>
      <c r="F77">
        <v>10159</v>
      </c>
      <c r="G77">
        <v>9975.50527471398</v>
      </c>
      <c r="H77">
        <v>11590.4915023129</v>
      </c>
      <c r="I77">
        <v>10681.771</v>
      </c>
      <c r="J77">
        <v>10105.254</v>
      </c>
      <c r="K77">
        <v>10150.667</v>
      </c>
      <c r="L77">
        <v>9853.824</v>
      </c>
      <c r="M77">
        <v>10106.601</v>
      </c>
      <c r="N77">
        <v>9920.935</v>
      </c>
      <c r="P77">
        <f t="shared" si="30"/>
        <v>183.494725286017</v>
      </c>
      <c r="Q77">
        <f t="shared" si="31"/>
        <v>1431.49150231293</v>
      </c>
      <c r="R77">
        <f t="shared" si="32"/>
        <v>522.771000000001</v>
      </c>
      <c r="S77">
        <f t="shared" si="33"/>
        <v>53.7459999999992</v>
      </c>
      <c r="T77">
        <f t="shared" si="34"/>
        <v>8.33300000000054</v>
      </c>
      <c r="U77">
        <f t="shared" si="35"/>
        <v>305.175999999999</v>
      </c>
      <c r="V77">
        <f t="shared" si="36"/>
        <v>52.3989999999994</v>
      </c>
      <c r="W77">
        <f t="shared" si="37"/>
        <v>238.065000000001</v>
      </c>
      <c r="X77">
        <f t="shared" si="38"/>
        <v>5700.35</v>
      </c>
      <c r="Y77">
        <f t="shared" si="39"/>
        <v>33670.3142077907</v>
      </c>
      <c r="Z77">
        <f t="shared" si="40"/>
        <v>2049167.92119412</v>
      </c>
      <c r="AA77">
        <f t="shared" si="41"/>
        <v>273289.518441001</v>
      </c>
      <c r="AB77">
        <f t="shared" si="42"/>
        <v>2888.63251599991</v>
      </c>
      <c r="AC77">
        <f t="shared" si="43"/>
        <v>69.438889000009</v>
      </c>
      <c r="AD77">
        <f t="shared" si="44"/>
        <v>93132.3909759997</v>
      </c>
      <c r="AE77">
        <f t="shared" si="45"/>
        <v>2745.65520099994</v>
      </c>
      <c r="AF77">
        <f t="shared" si="46"/>
        <v>56674.9442250002</v>
      </c>
      <c r="AG77">
        <f t="shared" si="29"/>
        <v>32493990.1225</v>
      </c>
      <c r="AI77">
        <f t="shared" si="47"/>
        <v>125825694.175071</v>
      </c>
      <c r="AJ77">
        <f t="shared" si="48"/>
        <v>164665138.752032</v>
      </c>
      <c r="AK77">
        <f t="shared" si="49"/>
        <v>142169160.687841</v>
      </c>
      <c r="AL77">
        <f t="shared" si="50"/>
        <v>128753365.078116</v>
      </c>
      <c r="AM77">
        <f t="shared" si="51"/>
        <v>129786025.862689</v>
      </c>
      <c r="AN77">
        <f t="shared" si="52"/>
        <v>123110652.834576</v>
      </c>
      <c r="AO77">
        <f t="shared" si="53"/>
        <v>128783935.586601</v>
      </c>
      <c r="AP77">
        <f t="shared" si="54"/>
        <v>124604420.143225</v>
      </c>
    </row>
    <row r="78" spans="1:42">
      <c r="A78">
        <v>1</v>
      </c>
      <c r="B78">
        <v>18</v>
      </c>
      <c r="C78">
        <v>5</v>
      </c>
      <c r="D78">
        <v>45</v>
      </c>
      <c r="E78">
        <v>120</v>
      </c>
      <c r="F78">
        <v>1232</v>
      </c>
      <c r="G78">
        <v>2926.60953807201</v>
      </c>
      <c r="H78">
        <v>1856.0055124343</v>
      </c>
      <c r="I78">
        <v>1456.285</v>
      </c>
      <c r="J78">
        <v>1304.934</v>
      </c>
      <c r="K78">
        <v>1250.333</v>
      </c>
      <c r="L78">
        <v>1206.833</v>
      </c>
      <c r="M78">
        <v>1272.41</v>
      </c>
      <c r="N78">
        <v>850.865</v>
      </c>
      <c r="P78">
        <f t="shared" si="30"/>
        <v>1694.60953807201</v>
      </c>
      <c r="Q78">
        <f t="shared" si="31"/>
        <v>624.0055124343</v>
      </c>
      <c r="R78">
        <f t="shared" si="32"/>
        <v>224.285</v>
      </c>
      <c r="S78">
        <f t="shared" si="33"/>
        <v>72.934</v>
      </c>
      <c r="T78">
        <f t="shared" si="34"/>
        <v>18.3330000000001</v>
      </c>
      <c r="U78">
        <f t="shared" si="35"/>
        <v>25.1669999999999</v>
      </c>
      <c r="V78">
        <f t="shared" si="36"/>
        <v>40.4100000000001</v>
      </c>
      <c r="W78">
        <f t="shared" si="37"/>
        <v>381.135</v>
      </c>
      <c r="X78">
        <f t="shared" si="38"/>
        <v>3226.65</v>
      </c>
      <c r="Y78">
        <f t="shared" si="39"/>
        <v>2871701.48652462</v>
      </c>
      <c r="Z78">
        <f t="shared" si="40"/>
        <v>389382.879548393</v>
      </c>
      <c r="AA78">
        <f t="shared" si="41"/>
        <v>50303.761225</v>
      </c>
      <c r="AB78">
        <f t="shared" si="42"/>
        <v>5319.368356</v>
      </c>
      <c r="AC78">
        <f t="shared" si="43"/>
        <v>336.098889000003</v>
      </c>
      <c r="AD78">
        <f t="shared" si="44"/>
        <v>633.377888999996</v>
      </c>
      <c r="AE78">
        <f t="shared" si="45"/>
        <v>1632.96810000001</v>
      </c>
      <c r="AF78">
        <f t="shared" si="46"/>
        <v>145263.888225</v>
      </c>
      <c r="AG78">
        <f t="shared" si="29"/>
        <v>10411270.2225</v>
      </c>
      <c r="AI78">
        <f t="shared" si="47"/>
        <v>22645134.9124445</v>
      </c>
      <c r="AJ78">
        <f t="shared" si="48"/>
        <v>33980674.2227639</v>
      </c>
      <c r="AK78">
        <f t="shared" si="49"/>
        <v>38800627.870225</v>
      </c>
      <c r="AL78">
        <f t="shared" si="50"/>
        <v>40709070.293956</v>
      </c>
      <c r="AM78">
        <f t="shared" si="51"/>
        <v>41408800.291089</v>
      </c>
      <c r="AN78">
        <f t="shared" si="52"/>
        <v>41970534.670089</v>
      </c>
      <c r="AO78">
        <f t="shared" si="53"/>
        <v>41125158.1521</v>
      </c>
      <c r="AP78">
        <f t="shared" si="54"/>
        <v>46709501.769225</v>
      </c>
    </row>
    <row r="79" spans="1:42">
      <c r="A79">
        <v>1</v>
      </c>
      <c r="B79">
        <v>18</v>
      </c>
      <c r="C79">
        <v>10</v>
      </c>
      <c r="D79">
        <v>45</v>
      </c>
      <c r="E79">
        <v>120</v>
      </c>
      <c r="F79">
        <v>1244</v>
      </c>
      <c r="G79">
        <v>3106.53723238004</v>
      </c>
      <c r="H79">
        <v>2402.4402855524</v>
      </c>
      <c r="I79">
        <v>1710.083</v>
      </c>
      <c r="J79">
        <v>1310.362</v>
      </c>
      <c r="K79">
        <v>1250.333</v>
      </c>
      <c r="L79">
        <v>1206.833</v>
      </c>
      <c r="M79">
        <v>1212.406</v>
      </c>
      <c r="N79">
        <v>1095.338</v>
      </c>
      <c r="P79">
        <f t="shared" si="30"/>
        <v>1862.53723238004</v>
      </c>
      <c r="Q79">
        <f t="shared" si="31"/>
        <v>1158.4402855524</v>
      </c>
      <c r="R79">
        <f t="shared" si="32"/>
        <v>466.083</v>
      </c>
      <c r="S79">
        <f t="shared" si="33"/>
        <v>66.3620000000001</v>
      </c>
      <c r="T79">
        <f t="shared" si="34"/>
        <v>6.33300000000008</v>
      </c>
      <c r="U79">
        <f t="shared" si="35"/>
        <v>37.1669999999999</v>
      </c>
      <c r="V79">
        <f t="shared" si="36"/>
        <v>31.5940000000001</v>
      </c>
      <c r="W79">
        <f t="shared" si="37"/>
        <v>148.662</v>
      </c>
      <c r="X79">
        <f t="shared" si="38"/>
        <v>3214.65</v>
      </c>
      <c r="Y79">
        <f t="shared" si="39"/>
        <v>3469044.9420019</v>
      </c>
      <c r="Z79">
        <f t="shared" si="40"/>
        <v>1341983.89519072</v>
      </c>
      <c r="AA79">
        <f t="shared" si="41"/>
        <v>217233.362889</v>
      </c>
      <c r="AB79">
        <f t="shared" si="42"/>
        <v>4403.91504400001</v>
      </c>
      <c r="AC79">
        <f t="shared" si="43"/>
        <v>40.1068890000011</v>
      </c>
      <c r="AD79">
        <f t="shared" si="44"/>
        <v>1381.38588899999</v>
      </c>
      <c r="AE79">
        <f t="shared" si="45"/>
        <v>998.180836000003</v>
      </c>
      <c r="AF79">
        <f t="shared" si="46"/>
        <v>22100.390244</v>
      </c>
      <c r="AG79">
        <f t="shared" si="29"/>
        <v>10333974.6225</v>
      </c>
      <c r="AI79">
        <f t="shared" si="47"/>
        <v>20855322.1757199</v>
      </c>
      <c r="AJ79">
        <f t="shared" si="48"/>
        <v>27781962.1293867</v>
      </c>
      <c r="AK79">
        <f t="shared" si="49"/>
        <v>35559956.989089</v>
      </c>
      <c r="AL79">
        <f t="shared" si="50"/>
        <v>40486979.991844</v>
      </c>
      <c r="AM79">
        <f t="shared" si="51"/>
        <v>41254505.083089</v>
      </c>
      <c r="AN79">
        <f t="shared" si="52"/>
        <v>41815195.462089</v>
      </c>
      <c r="AO79">
        <f t="shared" si="53"/>
        <v>41743151.279236</v>
      </c>
      <c r="AP79">
        <f t="shared" si="54"/>
        <v>43269584.073444</v>
      </c>
    </row>
    <row r="80" spans="1:42">
      <c r="A80">
        <v>1</v>
      </c>
      <c r="B80">
        <v>18</v>
      </c>
      <c r="C80">
        <v>15</v>
      </c>
      <c r="D80">
        <v>45</v>
      </c>
      <c r="E80">
        <v>120</v>
      </c>
      <c r="F80">
        <v>1275</v>
      </c>
      <c r="G80">
        <v>3286.46492668807</v>
      </c>
      <c r="H80">
        <v>2793.90286480682</v>
      </c>
      <c r="I80">
        <v>1963.88</v>
      </c>
      <c r="J80">
        <v>1320.209</v>
      </c>
      <c r="K80">
        <v>1250.333</v>
      </c>
      <c r="L80">
        <v>1206.833</v>
      </c>
      <c r="M80">
        <v>1223.915</v>
      </c>
      <c r="N80">
        <v>1376.995</v>
      </c>
      <c r="P80">
        <f t="shared" si="30"/>
        <v>2011.46492668807</v>
      </c>
      <c r="Q80">
        <f t="shared" si="31"/>
        <v>1518.90286480682</v>
      </c>
      <c r="R80">
        <f t="shared" si="32"/>
        <v>688.88</v>
      </c>
      <c r="S80">
        <f t="shared" si="33"/>
        <v>45.2090000000001</v>
      </c>
      <c r="T80">
        <f t="shared" si="34"/>
        <v>24.6669999999999</v>
      </c>
      <c r="U80">
        <f t="shared" si="35"/>
        <v>68.1669999999999</v>
      </c>
      <c r="V80">
        <f t="shared" si="36"/>
        <v>51.085</v>
      </c>
      <c r="W80">
        <f t="shared" si="37"/>
        <v>101.995</v>
      </c>
      <c r="X80">
        <f t="shared" si="38"/>
        <v>3183.65</v>
      </c>
      <c r="Y80">
        <f t="shared" si="39"/>
        <v>4045991.15129626</v>
      </c>
      <c r="Z80">
        <f t="shared" si="40"/>
        <v>2307065.91271837</v>
      </c>
      <c r="AA80">
        <f t="shared" si="41"/>
        <v>474555.6544</v>
      </c>
      <c r="AB80">
        <f t="shared" si="42"/>
        <v>2043.85368100001</v>
      </c>
      <c r="AC80">
        <f t="shared" si="43"/>
        <v>608.460888999996</v>
      </c>
      <c r="AD80">
        <f t="shared" si="44"/>
        <v>4646.73988899999</v>
      </c>
      <c r="AE80">
        <f t="shared" si="45"/>
        <v>2609.677225</v>
      </c>
      <c r="AF80">
        <f t="shared" si="46"/>
        <v>10402.980025</v>
      </c>
      <c r="AG80">
        <f t="shared" si="29"/>
        <v>10135627.3225</v>
      </c>
      <c r="AI80">
        <f t="shared" si="47"/>
        <v>18973299.1858943</v>
      </c>
      <c r="AJ80">
        <f t="shared" si="48"/>
        <v>23506954.7805494</v>
      </c>
      <c r="AK80">
        <f t="shared" si="49"/>
        <v>32244453.6964</v>
      </c>
      <c r="AL80">
        <f t="shared" si="50"/>
        <v>39968834.612281</v>
      </c>
      <c r="AM80">
        <f t="shared" si="51"/>
        <v>40857242.129089</v>
      </c>
      <c r="AN80">
        <f t="shared" si="52"/>
        <v>41415235.508089</v>
      </c>
      <c r="AO80">
        <f t="shared" si="53"/>
        <v>41195666.008225</v>
      </c>
      <c r="AP80">
        <f t="shared" si="54"/>
        <v>39254046.743025</v>
      </c>
    </row>
    <row r="81" spans="1:42">
      <c r="A81">
        <v>1</v>
      </c>
      <c r="B81">
        <v>18</v>
      </c>
      <c r="C81">
        <v>25</v>
      </c>
      <c r="D81">
        <v>45</v>
      </c>
      <c r="E81">
        <v>120</v>
      </c>
      <c r="F81">
        <v>1475</v>
      </c>
      <c r="G81">
        <v>3646.32031530414</v>
      </c>
      <c r="H81">
        <v>3379.13465725866</v>
      </c>
      <c r="I81">
        <v>2471.474</v>
      </c>
      <c r="J81">
        <v>1639.836</v>
      </c>
      <c r="K81">
        <v>1475</v>
      </c>
      <c r="L81">
        <v>1206.833</v>
      </c>
      <c r="M81">
        <v>1572.864</v>
      </c>
      <c r="N81">
        <v>2035.333</v>
      </c>
      <c r="P81">
        <f t="shared" si="30"/>
        <v>2171.32031530414</v>
      </c>
      <c r="Q81">
        <f t="shared" si="31"/>
        <v>1904.13465725866</v>
      </c>
      <c r="R81">
        <f t="shared" si="32"/>
        <v>996.474</v>
      </c>
      <c r="S81">
        <f t="shared" si="33"/>
        <v>164.836</v>
      </c>
      <c r="T81">
        <f t="shared" si="34"/>
        <v>0</v>
      </c>
      <c r="U81">
        <f t="shared" si="35"/>
        <v>268.167</v>
      </c>
      <c r="V81">
        <f t="shared" si="36"/>
        <v>97.864</v>
      </c>
      <c r="W81">
        <f t="shared" si="37"/>
        <v>560.333</v>
      </c>
      <c r="X81">
        <f t="shared" si="38"/>
        <v>2983.65</v>
      </c>
      <c r="Y81">
        <f t="shared" si="39"/>
        <v>4714631.91165248</v>
      </c>
      <c r="Z81">
        <f t="shared" si="40"/>
        <v>3625728.79297355</v>
      </c>
      <c r="AA81">
        <f t="shared" si="41"/>
        <v>992960.432676</v>
      </c>
      <c r="AB81">
        <f t="shared" si="42"/>
        <v>27170.906896</v>
      </c>
      <c r="AC81">
        <f t="shared" si="43"/>
        <v>0</v>
      </c>
      <c r="AD81">
        <f t="shared" si="44"/>
        <v>71913.5398889999</v>
      </c>
      <c r="AE81">
        <f t="shared" si="45"/>
        <v>9577.36249600001</v>
      </c>
      <c r="AF81">
        <f t="shared" si="46"/>
        <v>313973.070889</v>
      </c>
      <c r="AG81">
        <f t="shared" si="29"/>
        <v>8902167.3225</v>
      </c>
      <c r="AI81">
        <f t="shared" si="47"/>
        <v>14409461.7666237</v>
      </c>
      <c r="AJ81">
        <f t="shared" si="48"/>
        <v>16509312.6024543</v>
      </c>
      <c r="AK81">
        <f t="shared" si="49"/>
        <v>24709111.122276</v>
      </c>
      <c r="AL81">
        <f t="shared" si="50"/>
        <v>33668588.471296</v>
      </c>
      <c r="AM81">
        <f t="shared" si="51"/>
        <v>35608669.29</v>
      </c>
      <c r="AN81">
        <f t="shared" si="52"/>
        <v>38881048.708089</v>
      </c>
      <c r="AO81">
        <f t="shared" si="53"/>
        <v>34450278.958096</v>
      </c>
      <c r="AP81">
        <f t="shared" si="54"/>
        <v>29235292.139089</v>
      </c>
    </row>
    <row r="82" spans="1:42">
      <c r="A82">
        <v>1</v>
      </c>
      <c r="B82">
        <v>18</v>
      </c>
      <c r="C82">
        <v>35</v>
      </c>
      <c r="D82">
        <v>45</v>
      </c>
      <c r="E82">
        <v>120</v>
      </c>
      <c r="F82">
        <v>2520</v>
      </c>
      <c r="G82">
        <v>4006.17570392021</v>
      </c>
      <c r="H82">
        <v>3830.08934065806</v>
      </c>
      <c r="I82">
        <v>3048.834</v>
      </c>
      <c r="J82">
        <v>2893.21</v>
      </c>
      <c r="K82">
        <v>2520</v>
      </c>
      <c r="L82">
        <v>2814.5</v>
      </c>
      <c r="M82">
        <v>2448.442</v>
      </c>
      <c r="N82">
        <v>2785.973</v>
      </c>
      <c r="P82">
        <f t="shared" si="30"/>
        <v>1486.17570392021</v>
      </c>
      <c r="Q82">
        <f t="shared" si="31"/>
        <v>1310.08934065806</v>
      </c>
      <c r="R82">
        <f t="shared" si="32"/>
        <v>528.834</v>
      </c>
      <c r="S82">
        <f t="shared" si="33"/>
        <v>373.21</v>
      </c>
      <c r="T82">
        <f t="shared" si="34"/>
        <v>0</v>
      </c>
      <c r="U82">
        <f t="shared" si="35"/>
        <v>294.5</v>
      </c>
      <c r="V82">
        <f t="shared" si="36"/>
        <v>71.558</v>
      </c>
      <c r="W82">
        <f t="shared" si="37"/>
        <v>265.973</v>
      </c>
      <c r="X82">
        <f t="shared" si="38"/>
        <v>1938.65</v>
      </c>
      <c r="Y82">
        <f t="shared" si="39"/>
        <v>2208718.22292273</v>
      </c>
      <c r="Z82">
        <f t="shared" si="40"/>
        <v>1716334.08050587</v>
      </c>
      <c r="AA82">
        <f t="shared" si="41"/>
        <v>279665.399556</v>
      </c>
      <c r="AB82">
        <f t="shared" si="42"/>
        <v>139285.7041</v>
      </c>
      <c r="AC82">
        <f t="shared" si="43"/>
        <v>0</v>
      </c>
      <c r="AD82">
        <f t="shared" si="44"/>
        <v>86730.25</v>
      </c>
      <c r="AE82">
        <f t="shared" si="45"/>
        <v>5120.547364</v>
      </c>
      <c r="AF82">
        <f t="shared" si="46"/>
        <v>70741.636729</v>
      </c>
      <c r="AG82">
        <f t="shared" si="29"/>
        <v>3758363.8225</v>
      </c>
      <c r="AI82">
        <f t="shared" si="47"/>
        <v>5717475.39930307</v>
      </c>
      <c r="AJ82">
        <f t="shared" si="48"/>
        <v>6590570.56943887</v>
      </c>
      <c r="AK82">
        <f t="shared" si="49"/>
        <v>11212224.553156</v>
      </c>
      <c r="AL82">
        <f t="shared" si="50"/>
        <v>12278646.7281</v>
      </c>
      <c r="AM82">
        <f t="shared" si="51"/>
        <v>15033455.29</v>
      </c>
      <c r="AN82">
        <f t="shared" si="52"/>
        <v>12836455.84</v>
      </c>
      <c r="AO82">
        <f t="shared" si="53"/>
        <v>15593479.504164</v>
      </c>
      <c r="AP82">
        <f t="shared" si="54"/>
        <v>13041682.700929</v>
      </c>
    </row>
    <row r="83" spans="1:42">
      <c r="A83">
        <v>1</v>
      </c>
      <c r="B83">
        <v>18</v>
      </c>
      <c r="C83">
        <v>40</v>
      </c>
      <c r="D83">
        <v>45</v>
      </c>
      <c r="E83">
        <v>120</v>
      </c>
      <c r="F83">
        <v>2879</v>
      </c>
      <c r="G83">
        <v>4186.10339822824</v>
      </c>
      <c r="H83">
        <v>4025.30953263084</v>
      </c>
      <c r="I83">
        <v>3333.494</v>
      </c>
      <c r="J83">
        <v>3009.145</v>
      </c>
      <c r="K83">
        <v>2879</v>
      </c>
      <c r="L83">
        <v>2814.5</v>
      </c>
      <c r="M83">
        <v>3035.342</v>
      </c>
      <c r="N83">
        <v>3181.119</v>
      </c>
      <c r="P83">
        <f t="shared" si="30"/>
        <v>1307.10339822824</v>
      </c>
      <c r="Q83">
        <f t="shared" si="31"/>
        <v>1146.30953263084</v>
      </c>
      <c r="R83">
        <f t="shared" si="32"/>
        <v>454.494</v>
      </c>
      <c r="S83">
        <f t="shared" si="33"/>
        <v>130.145</v>
      </c>
      <c r="T83">
        <f t="shared" si="34"/>
        <v>0</v>
      </c>
      <c r="U83">
        <f t="shared" si="35"/>
        <v>64.5</v>
      </c>
      <c r="V83">
        <f t="shared" si="36"/>
        <v>156.342</v>
      </c>
      <c r="W83">
        <f t="shared" si="37"/>
        <v>302.119</v>
      </c>
      <c r="X83">
        <f t="shared" si="38"/>
        <v>1579.65</v>
      </c>
      <c r="Y83">
        <f t="shared" si="39"/>
        <v>1708519.29365982</v>
      </c>
      <c r="Z83">
        <f t="shared" si="40"/>
        <v>1314025.54460033</v>
      </c>
      <c r="AA83">
        <f t="shared" si="41"/>
        <v>206564.796036</v>
      </c>
      <c r="AB83">
        <f t="shared" si="42"/>
        <v>16937.721025</v>
      </c>
      <c r="AC83">
        <f t="shared" si="43"/>
        <v>0</v>
      </c>
      <c r="AD83">
        <f t="shared" si="44"/>
        <v>4160.25</v>
      </c>
      <c r="AE83">
        <f t="shared" si="45"/>
        <v>24442.820964</v>
      </c>
      <c r="AF83">
        <f t="shared" si="46"/>
        <v>91275.8901610001</v>
      </c>
      <c r="AG83">
        <f t="shared" si="29"/>
        <v>2495294.1225</v>
      </c>
      <c r="AI83">
        <f t="shared" si="47"/>
        <v>3430632.25161484</v>
      </c>
      <c r="AJ83">
        <f t="shared" si="48"/>
        <v>4052130.62171911</v>
      </c>
      <c r="AK83">
        <f t="shared" si="49"/>
        <v>7315975.497636</v>
      </c>
      <c r="AL83">
        <f t="shared" si="50"/>
        <v>9175780.014025</v>
      </c>
      <c r="AM83">
        <f t="shared" si="51"/>
        <v>9981176.48999999</v>
      </c>
      <c r="AN83">
        <f t="shared" si="52"/>
        <v>10392886.44</v>
      </c>
      <c r="AO83">
        <f t="shared" si="53"/>
        <v>9017756.749764</v>
      </c>
      <c r="AP83">
        <f t="shared" si="54"/>
        <v>8163483.26676099</v>
      </c>
    </row>
    <row r="84" spans="1:42">
      <c r="A84">
        <v>1</v>
      </c>
      <c r="B84">
        <v>18</v>
      </c>
      <c r="C84">
        <v>45</v>
      </c>
      <c r="D84">
        <v>45</v>
      </c>
      <c r="E84">
        <v>120</v>
      </c>
      <c r="F84">
        <v>3445</v>
      </c>
      <c r="G84">
        <v>4366.03109253628</v>
      </c>
      <c r="H84">
        <v>4205.74894076565</v>
      </c>
      <c r="I84">
        <v>3618.153</v>
      </c>
      <c r="J84">
        <v>3620.375</v>
      </c>
      <c r="K84">
        <v>3445</v>
      </c>
      <c r="L84">
        <v>2814.5</v>
      </c>
      <c r="M84">
        <v>3646.811</v>
      </c>
      <c r="N84">
        <v>3581.015</v>
      </c>
      <c r="P84">
        <f t="shared" si="30"/>
        <v>921.031092536277</v>
      </c>
      <c r="Q84">
        <f t="shared" si="31"/>
        <v>760.748940765649</v>
      </c>
      <c r="R84">
        <f t="shared" si="32"/>
        <v>173.153</v>
      </c>
      <c r="S84">
        <f t="shared" si="33"/>
        <v>175.375</v>
      </c>
      <c r="T84">
        <f t="shared" si="34"/>
        <v>0</v>
      </c>
      <c r="U84">
        <f t="shared" si="35"/>
        <v>630.5</v>
      </c>
      <c r="V84">
        <f t="shared" si="36"/>
        <v>201.811</v>
      </c>
      <c r="W84">
        <f t="shared" si="37"/>
        <v>136.015</v>
      </c>
      <c r="X84">
        <f t="shared" si="38"/>
        <v>1013.65</v>
      </c>
      <c r="Y84">
        <f t="shared" si="39"/>
        <v>848298.273418569</v>
      </c>
      <c r="Z84">
        <f t="shared" si="40"/>
        <v>578738.950876056</v>
      </c>
      <c r="AA84">
        <f t="shared" si="41"/>
        <v>29981.9614089999</v>
      </c>
      <c r="AB84">
        <f t="shared" si="42"/>
        <v>30756.390625</v>
      </c>
      <c r="AC84">
        <f t="shared" si="43"/>
        <v>0</v>
      </c>
      <c r="AD84">
        <f t="shared" si="44"/>
        <v>397530.25</v>
      </c>
      <c r="AE84">
        <f t="shared" si="45"/>
        <v>40727.6797210001</v>
      </c>
      <c r="AF84">
        <f t="shared" si="46"/>
        <v>18500.080225</v>
      </c>
      <c r="AG84">
        <f t="shared" si="29"/>
        <v>1027486.3225</v>
      </c>
      <c r="AI84">
        <f t="shared" si="47"/>
        <v>1223830.89562098</v>
      </c>
      <c r="AJ84">
        <f t="shared" si="48"/>
        <v>1604151.58564766</v>
      </c>
      <c r="AK84">
        <f t="shared" si="49"/>
        <v>3437861.097609</v>
      </c>
      <c r="AL84">
        <f t="shared" si="50"/>
        <v>3429626.205625</v>
      </c>
      <c r="AM84">
        <f t="shared" si="51"/>
        <v>4109945.29</v>
      </c>
      <c r="AN84">
        <f t="shared" si="52"/>
        <v>7063900.84</v>
      </c>
      <c r="AO84">
        <f t="shared" si="53"/>
        <v>3332410.089121</v>
      </c>
      <c r="AP84">
        <f t="shared" si="54"/>
        <v>3576958.951225</v>
      </c>
    </row>
    <row r="85" spans="1:42">
      <c r="A85">
        <v>1</v>
      </c>
      <c r="B85">
        <v>18</v>
      </c>
      <c r="C85">
        <v>50</v>
      </c>
      <c r="D85">
        <v>45</v>
      </c>
      <c r="E85">
        <v>120</v>
      </c>
      <c r="F85">
        <v>4640</v>
      </c>
      <c r="G85">
        <v>4545.95878684431</v>
      </c>
      <c r="H85">
        <v>4374.00060318617</v>
      </c>
      <c r="I85">
        <v>4190.717</v>
      </c>
      <c r="J85">
        <v>4575.279</v>
      </c>
      <c r="K85">
        <v>4648</v>
      </c>
      <c r="L85">
        <v>4498</v>
      </c>
      <c r="M85">
        <v>4215.915</v>
      </c>
      <c r="N85">
        <v>3979.234</v>
      </c>
      <c r="P85">
        <f t="shared" si="30"/>
        <v>94.0412131556895</v>
      </c>
      <c r="Q85">
        <f t="shared" si="31"/>
        <v>265.999396813828</v>
      </c>
      <c r="R85">
        <f t="shared" si="32"/>
        <v>449.283</v>
      </c>
      <c r="S85">
        <f t="shared" si="33"/>
        <v>64.7209999999995</v>
      </c>
      <c r="T85">
        <f t="shared" si="34"/>
        <v>8</v>
      </c>
      <c r="U85">
        <f t="shared" si="35"/>
        <v>142</v>
      </c>
      <c r="V85">
        <f t="shared" si="36"/>
        <v>424.085</v>
      </c>
      <c r="W85">
        <f t="shared" si="37"/>
        <v>660.766</v>
      </c>
      <c r="X85">
        <f t="shared" si="38"/>
        <v>181.35</v>
      </c>
      <c r="Y85">
        <f t="shared" si="39"/>
        <v>8843.74977179384</v>
      </c>
      <c r="Z85">
        <f t="shared" si="40"/>
        <v>70755.6791053202</v>
      </c>
      <c r="AA85">
        <f t="shared" si="41"/>
        <v>201855.214089</v>
      </c>
      <c r="AB85">
        <f t="shared" si="42"/>
        <v>4188.80784099994</v>
      </c>
      <c r="AC85">
        <f t="shared" si="43"/>
        <v>64</v>
      </c>
      <c r="AD85">
        <f t="shared" si="44"/>
        <v>20164</v>
      </c>
      <c r="AE85">
        <f t="shared" si="45"/>
        <v>179848.087225</v>
      </c>
      <c r="AF85">
        <f t="shared" si="46"/>
        <v>436611.706756</v>
      </c>
      <c r="AG85">
        <f t="shared" si="29"/>
        <v>32887.8225000001</v>
      </c>
      <c r="AI85">
        <f t="shared" si="47"/>
        <v>72177.543748657</v>
      </c>
      <c r="AJ85">
        <f t="shared" si="48"/>
        <v>70755.6791053202</v>
      </c>
      <c r="AK85">
        <f t="shared" si="49"/>
        <v>201855.214089</v>
      </c>
      <c r="AL85">
        <f t="shared" si="50"/>
        <v>88791.4844410007</v>
      </c>
      <c r="AM85">
        <f t="shared" si="51"/>
        <v>137418.490000001</v>
      </c>
      <c r="AN85">
        <f t="shared" si="52"/>
        <v>48708.4900000003</v>
      </c>
      <c r="AO85">
        <f t="shared" si="53"/>
        <v>179848.087225</v>
      </c>
      <c r="AP85">
        <f t="shared" si="54"/>
        <v>436611.706756</v>
      </c>
    </row>
    <row r="86" spans="1:42">
      <c r="A86">
        <v>1</v>
      </c>
      <c r="B86">
        <v>18</v>
      </c>
      <c r="C86">
        <v>55</v>
      </c>
      <c r="D86">
        <v>45</v>
      </c>
      <c r="E86">
        <v>120</v>
      </c>
      <c r="F86">
        <v>4656</v>
      </c>
      <c r="G86">
        <v>4725.88648115234</v>
      </c>
      <c r="H86">
        <v>4531.99391171603</v>
      </c>
      <c r="I86">
        <v>4434.699</v>
      </c>
      <c r="J86">
        <v>4839.529</v>
      </c>
      <c r="K86">
        <v>4648</v>
      </c>
      <c r="L86">
        <v>4498</v>
      </c>
      <c r="M86">
        <v>4692.146</v>
      </c>
      <c r="N86">
        <v>4369.487</v>
      </c>
      <c r="P86">
        <f t="shared" si="30"/>
        <v>69.8864811523435</v>
      </c>
      <c r="Q86">
        <f t="shared" si="31"/>
        <v>124.006088283966</v>
      </c>
      <c r="R86">
        <f t="shared" si="32"/>
        <v>221.301</v>
      </c>
      <c r="S86">
        <f t="shared" si="33"/>
        <v>183.529</v>
      </c>
      <c r="T86">
        <f t="shared" si="34"/>
        <v>8</v>
      </c>
      <c r="U86">
        <f t="shared" si="35"/>
        <v>158</v>
      </c>
      <c r="V86">
        <f t="shared" si="36"/>
        <v>36.1459999999997</v>
      </c>
      <c r="W86">
        <f t="shared" si="37"/>
        <v>286.513</v>
      </c>
      <c r="X86">
        <f t="shared" si="38"/>
        <v>197.35</v>
      </c>
      <c r="Y86">
        <f t="shared" si="39"/>
        <v>4884.12024785687</v>
      </c>
      <c r="Z86">
        <f t="shared" si="40"/>
        <v>15377.5099314908</v>
      </c>
      <c r="AA86">
        <f t="shared" si="41"/>
        <v>48974.1326010002</v>
      </c>
      <c r="AB86">
        <f t="shared" si="42"/>
        <v>33682.8938410002</v>
      </c>
      <c r="AC86">
        <f t="shared" si="43"/>
        <v>64</v>
      </c>
      <c r="AD86">
        <f t="shared" si="44"/>
        <v>24964</v>
      </c>
      <c r="AE86">
        <f t="shared" si="45"/>
        <v>1306.53331599998</v>
      </c>
      <c r="AF86">
        <f t="shared" si="46"/>
        <v>82089.699169</v>
      </c>
      <c r="AG86">
        <f t="shared" si="29"/>
        <v>38947.0225000001</v>
      </c>
      <c r="AI86">
        <f t="shared" si="47"/>
        <v>215840.598469518</v>
      </c>
      <c r="AJ86">
        <f t="shared" si="48"/>
        <v>73275.1938401283</v>
      </c>
      <c r="AK86">
        <f t="shared" si="49"/>
        <v>48974.1326010002</v>
      </c>
      <c r="AL86">
        <f t="shared" si="50"/>
        <v>334348.776441001</v>
      </c>
      <c r="AM86">
        <f t="shared" si="51"/>
        <v>149536.890000001</v>
      </c>
      <c r="AN86">
        <f t="shared" si="52"/>
        <v>56026.8900000003</v>
      </c>
      <c r="AO86">
        <f t="shared" si="53"/>
        <v>185628.275716</v>
      </c>
      <c r="AP86">
        <f t="shared" si="54"/>
        <v>82089.699169</v>
      </c>
    </row>
    <row r="87" spans="1:42">
      <c r="A87">
        <v>1</v>
      </c>
      <c r="B87">
        <v>18</v>
      </c>
      <c r="C87">
        <v>75</v>
      </c>
      <c r="D87">
        <v>45</v>
      </c>
      <c r="E87">
        <v>120</v>
      </c>
      <c r="F87">
        <v>5621</v>
      </c>
      <c r="G87">
        <v>5445.59725838448</v>
      </c>
      <c r="H87">
        <v>5086.71657289444</v>
      </c>
      <c r="I87">
        <v>5410.627</v>
      </c>
      <c r="J87">
        <v>5822.33</v>
      </c>
      <c r="K87">
        <v>5621</v>
      </c>
      <c r="L87">
        <v>5417.333</v>
      </c>
      <c r="M87">
        <v>5770.116</v>
      </c>
      <c r="N87">
        <v>5738.574</v>
      </c>
      <c r="P87">
        <f t="shared" si="30"/>
        <v>175.40274161552</v>
      </c>
      <c r="Q87">
        <f t="shared" si="31"/>
        <v>534.283427105564</v>
      </c>
      <c r="R87">
        <f t="shared" si="32"/>
        <v>210.373</v>
      </c>
      <c r="S87">
        <f t="shared" si="33"/>
        <v>201.33</v>
      </c>
      <c r="T87">
        <f t="shared" si="34"/>
        <v>0</v>
      </c>
      <c r="U87">
        <f t="shared" si="35"/>
        <v>203.667</v>
      </c>
      <c r="V87">
        <f t="shared" si="36"/>
        <v>149.116</v>
      </c>
      <c r="W87">
        <f t="shared" si="37"/>
        <v>117.574</v>
      </c>
      <c r="X87">
        <f t="shared" si="38"/>
        <v>1162.35</v>
      </c>
      <c r="Y87">
        <f t="shared" si="39"/>
        <v>30766.121766241</v>
      </c>
      <c r="Z87">
        <f t="shared" si="40"/>
        <v>285458.780479666</v>
      </c>
      <c r="AA87">
        <f t="shared" si="41"/>
        <v>44256.7991289998</v>
      </c>
      <c r="AB87">
        <f t="shared" si="42"/>
        <v>40533.7689</v>
      </c>
      <c r="AC87">
        <f t="shared" si="43"/>
        <v>0</v>
      </c>
      <c r="AD87">
        <f t="shared" si="44"/>
        <v>41480.2468890002</v>
      </c>
      <c r="AE87">
        <f t="shared" si="45"/>
        <v>22235.581456</v>
      </c>
      <c r="AF87">
        <f t="shared" si="46"/>
        <v>13823.6454759999</v>
      </c>
      <c r="AG87">
        <f t="shared" si="29"/>
        <v>1351057.5225</v>
      </c>
      <c r="AI87">
        <f t="shared" si="47"/>
        <v>4619478.70489904</v>
      </c>
      <c r="AJ87">
        <f t="shared" si="48"/>
        <v>3205591.50449506</v>
      </c>
      <c r="AK87">
        <f t="shared" si="49"/>
        <v>4470378.662929</v>
      </c>
      <c r="AL87">
        <f t="shared" si="50"/>
        <v>6380827.5609</v>
      </c>
      <c r="AM87">
        <f t="shared" si="51"/>
        <v>5404230.09</v>
      </c>
      <c r="AN87">
        <f t="shared" si="52"/>
        <v>4498780.987089</v>
      </c>
      <c r="AO87">
        <f t="shared" si="53"/>
        <v>6119765.601856</v>
      </c>
      <c r="AP87">
        <f t="shared" si="54"/>
        <v>5964702.291076</v>
      </c>
    </row>
    <row r="88" spans="1:42">
      <c r="A88">
        <v>1</v>
      </c>
      <c r="B88">
        <v>18</v>
      </c>
      <c r="C88">
        <v>80</v>
      </c>
      <c r="D88">
        <v>45</v>
      </c>
      <c r="E88">
        <v>120</v>
      </c>
      <c r="F88">
        <v>5967</v>
      </c>
      <c r="G88">
        <v>5625.52495269251</v>
      </c>
      <c r="H88">
        <v>5210.41867506454</v>
      </c>
      <c r="I88">
        <v>5654.608</v>
      </c>
      <c r="J88">
        <v>6010.494</v>
      </c>
      <c r="K88">
        <v>5967</v>
      </c>
      <c r="L88">
        <v>6456.8</v>
      </c>
      <c r="M88">
        <v>5997.442</v>
      </c>
      <c r="N88">
        <v>6009.969</v>
      </c>
      <c r="P88">
        <f t="shared" si="30"/>
        <v>341.475047307487</v>
      </c>
      <c r="Q88">
        <f t="shared" si="31"/>
        <v>756.581324935456</v>
      </c>
      <c r="R88">
        <f t="shared" si="32"/>
        <v>312.392</v>
      </c>
      <c r="S88">
        <f t="shared" si="33"/>
        <v>43.4939999999997</v>
      </c>
      <c r="T88">
        <f t="shared" si="34"/>
        <v>0</v>
      </c>
      <c r="U88">
        <f t="shared" si="35"/>
        <v>489.8</v>
      </c>
      <c r="V88">
        <f t="shared" si="36"/>
        <v>30.442</v>
      </c>
      <c r="W88">
        <f t="shared" si="37"/>
        <v>42.9690000000001</v>
      </c>
      <c r="X88">
        <f t="shared" si="38"/>
        <v>1508.35</v>
      </c>
      <c r="Y88">
        <f t="shared" si="39"/>
        <v>116605.207933651</v>
      </c>
      <c r="Z88">
        <f t="shared" si="40"/>
        <v>572415.30124109</v>
      </c>
      <c r="AA88">
        <f t="shared" si="41"/>
        <v>97588.7616639999</v>
      </c>
      <c r="AB88">
        <f t="shared" si="42"/>
        <v>1891.72803599997</v>
      </c>
      <c r="AC88">
        <f t="shared" si="43"/>
        <v>0</v>
      </c>
      <c r="AD88">
        <f t="shared" si="44"/>
        <v>239904.04</v>
      </c>
      <c r="AE88">
        <f t="shared" si="45"/>
        <v>926.715364</v>
      </c>
      <c r="AF88">
        <f t="shared" si="46"/>
        <v>1846.334961</v>
      </c>
      <c r="AG88">
        <f t="shared" si="29"/>
        <v>2275119.7225</v>
      </c>
      <c r="AI88">
        <f t="shared" si="47"/>
        <v>7156828.54750866</v>
      </c>
      <c r="AJ88">
        <f t="shared" si="48"/>
        <v>5108136.42537551</v>
      </c>
      <c r="AK88">
        <f t="shared" si="49"/>
        <v>7313281.75886401</v>
      </c>
      <c r="AL88">
        <f t="shared" si="50"/>
        <v>9364787.317636</v>
      </c>
      <c r="AM88">
        <f t="shared" si="51"/>
        <v>9100478.89</v>
      </c>
      <c r="AN88">
        <f t="shared" si="52"/>
        <v>12295542.25</v>
      </c>
      <c r="AO88">
        <f t="shared" si="53"/>
        <v>9285074.368164</v>
      </c>
      <c r="AP88">
        <f t="shared" si="54"/>
        <v>9361574.389561</v>
      </c>
    </row>
    <row r="89" spans="1:42">
      <c r="A89">
        <v>1</v>
      </c>
      <c r="B89">
        <v>18</v>
      </c>
      <c r="C89">
        <v>90</v>
      </c>
      <c r="D89">
        <v>45</v>
      </c>
      <c r="E89">
        <v>120</v>
      </c>
      <c r="F89">
        <v>6611</v>
      </c>
      <c r="G89">
        <v>5985.38034130858</v>
      </c>
      <c r="H89">
        <v>5443.9820455934</v>
      </c>
      <c r="I89">
        <v>6142.572</v>
      </c>
      <c r="J89">
        <v>6637.757</v>
      </c>
      <c r="K89">
        <v>6675.5</v>
      </c>
      <c r="L89">
        <v>6456.8</v>
      </c>
      <c r="M89">
        <v>6454.453</v>
      </c>
      <c r="N89">
        <v>6446.245</v>
      </c>
      <c r="P89">
        <f t="shared" si="30"/>
        <v>625.619658691419</v>
      </c>
      <c r="Q89">
        <f t="shared" si="31"/>
        <v>1167.0179544066</v>
      </c>
      <c r="R89">
        <f t="shared" si="32"/>
        <v>468.428</v>
      </c>
      <c r="S89">
        <f t="shared" si="33"/>
        <v>26.7569999999996</v>
      </c>
      <c r="T89">
        <f t="shared" si="34"/>
        <v>64.5</v>
      </c>
      <c r="U89">
        <f t="shared" si="35"/>
        <v>154.2</v>
      </c>
      <c r="V89">
        <f t="shared" si="36"/>
        <v>156.547</v>
      </c>
      <c r="W89">
        <f t="shared" si="37"/>
        <v>164.755</v>
      </c>
      <c r="X89">
        <f t="shared" si="38"/>
        <v>2152.35</v>
      </c>
      <c r="Y89">
        <f t="shared" si="39"/>
        <v>391399.957341168</v>
      </c>
      <c r="Z89">
        <f t="shared" si="40"/>
        <v>1361930.90590736</v>
      </c>
      <c r="AA89">
        <f t="shared" si="41"/>
        <v>219424.791184</v>
      </c>
      <c r="AB89">
        <f t="shared" si="42"/>
        <v>715.937048999979</v>
      </c>
      <c r="AC89">
        <f t="shared" si="43"/>
        <v>4160.25</v>
      </c>
      <c r="AD89">
        <f t="shared" si="44"/>
        <v>23777.6399999999</v>
      </c>
      <c r="AE89">
        <f t="shared" si="45"/>
        <v>24506.9632089999</v>
      </c>
      <c r="AF89">
        <f t="shared" si="46"/>
        <v>27144.210025</v>
      </c>
      <c r="AG89">
        <f t="shared" si="29"/>
        <v>4632610.5225</v>
      </c>
      <c r="AI89">
        <f t="shared" si="47"/>
        <v>13535632.1578033</v>
      </c>
      <c r="AJ89">
        <f t="shared" si="48"/>
        <v>9845048.61923921</v>
      </c>
      <c r="AK89">
        <f t="shared" si="49"/>
        <v>14716982.857984</v>
      </c>
      <c r="AL89">
        <f t="shared" si="50"/>
        <v>18761519.742849</v>
      </c>
      <c r="AM89">
        <f t="shared" si="51"/>
        <v>19089908.64</v>
      </c>
      <c r="AN89">
        <f t="shared" si="52"/>
        <v>17226650.25</v>
      </c>
      <c r="AO89">
        <f t="shared" si="53"/>
        <v>17207173.311409</v>
      </c>
      <c r="AP89">
        <f t="shared" si="54"/>
        <v>17139144.603025</v>
      </c>
    </row>
    <row r="90" spans="1:42">
      <c r="A90">
        <v>1</v>
      </c>
      <c r="B90">
        <v>18</v>
      </c>
      <c r="C90">
        <v>95</v>
      </c>
      <c r="D90">
        <v>45</v>
      </c>
      <c r="E90">
        <v>120</v>
      </c>
      <c r="F90">
        <v>6647</v>
      </c>
      <c r="G90">
        <v>6165.30803561662</v>
      </c>
      <c r="H90">
        <v>5554.67541569085</v>
      </c>
      <c r="I90">
        <v>6386.554</v>
      </c>
      <c r="J90">
        <v>6683.92</v>
      </c>
      <c r="K90">
        <v>6675.5</v>
      </c>
      <c r="L90">
        <v>6456.8</v>
      </c>
      <c r="M90">
        <v>6630.315</v>
      </c>
      <c r="N90">
        <v>6608.369</v>
      </c>
      <c r="P90">
        <f t="shared" si="30"/>
        <v>481.691964383384</v>
      </c>
      <c r="Q90">
        <f t="shared" si="31"/>
        <v>1092.32458430915</v>
      </c>
      <c r="R90">
        <f t="shared" si="32"/>
        <v>260.446</v>
      </c>
      <c r="S90">
        <f t="shared" si="33"/>
        <v>36.9200000000001</v>
      </c>
      <c r="T90">
        <f t="shared" si="34"/>
        <v>28.5</v>
      </c>
      <c r="U90">
        <f t="shared" si="35"/>
        <v>190.2</v>
      </c>
      <c r="V90">
        <f t="shared" si="36"/>
        <v>16.6850000000004</v>
      </c>
      <c r="W90">
        <f t="shared" si="37"/>
        <v>38.6310000000003</v>
      </c>
      <c r="X90">
        <f t="shared" si="38"/>
        <v>2188.35</v>
      </c>
      <c r="Y90">
        <f t="shared" si="39"/>
        <v>232027.148551524</v>
      </c>
      <c r="Z90">
        <f t="shared" si="40"/>
        <v>1193172.99748617</v>
      </c>
      <c r="AA90">
        <f t="shared" si="41"/>
        <v>67832.1189159999</v>
      </c>
      <c r="AB90">
        <f t="shared" si="42"/>
        <v>1363.08640000001</v>
      </c>
      <c r="AC90">
        <f t="shared" si="43"/>
        <v>812.25</v>
      </c>
      <c r="AD90">
        <f t="shared" si="44"/>
        <v>36176.0399999999</v>
      </c>
      <c r="AE90">
        <f t="shared" si="45"/>
        <v>278.389225000013</v>
      </c>
      <c r="AF90">
        <f t="shared" si="46"/>
        <v>1492.35416100002</v>
      </c>
      <c r="AG90">
        <f t="shared" si="29"/>
        <v>4788875.7225</v>
      </c>
      <c r="AI90">
        <f t="shared" si="47"/>
        <v>15171087.597518</v>
      </c>
      <c r="AJ90">
        <f t="shared" si="48"/>
        <v>10787121.8711944</v>
      </c>
      <c r="AK90">
        <f t="shared" si="49"/>
        <v>16943546.992516</v>
      </c>
      <c r="AL90">
        <f t="shared" si="50"/>
        <v>19480041.5044</v>
      </c>
      <c r="AM90">
        <f t="shared" si="51"/>
        <v>19405787.04</v>
      </c>
      <c r="AN90">
        <f t="shared" si="52"/>
        <v>17526782.25</v>
      </c>
      <c r="AO90">
        <f t="shared" si="53"/>
        <v>19009730.800225</v>
      </c>
      <c r="AP90">
        <f t="shared" si="54"/>
        <v>18818842.648761</v>
      </c>
    </row>
    <row r="91" spans="1:42">
      <c r="A91">
        <v>1</v>
      </c>
      <c r="B91">
        <v>18</v>
      </c>
      <c r="C91">
        <v>100</v>
      </c>
      <c r="D91">
        <v>45</v>
      </c>
      <c r="E91">
        <v>120</v>
      </c>
      <c r="F91">
        <v>6688</v>
      </c>
      <c r="G91">
        <v>6345.23572992465</v>
      </c>
      <c r="H91">
        <v>5661.76942241001</v>
      </c>
      <c r="I91">
        <v>6630.536</v>
      </c>
      <c r="J91">
        <v>6687.015</v>
      </c>
      <c r="K91">
        <v>6675.5</v>
      </c>
      <c r="L91">
        <v>6456.8</v>
      </c>
      <c r="M91">
        <v>6740.542</v>
      </c>
      <c r="N91">
        <v>6732.73</v>
      </c>
      <c r="P91">
        <f t="shared" si="30"/>
        <v>342.764270075351</v>
      </c>
      <c r="Q91">
        <f t="shared" si="31"/>
        <v>1026.23057758999</v>
      </c>
      <c r="R91">
        <f t="shared" si="32"/>
        <v>57.4639999999999</v>
      </c>
      <c r="S91">
        <f t="shared" si="33"/>
        <v>0.984999999999673</v>
      </c>
      <c r="T91">
        <f t="shared" si="34"/>
        <v>12.5</v>
      </c>
      <c r="U91">
        <f t="shared" si="35"/>
        <v>231.2</v>
      </c>
      <c r="V91">
        <f t="shared" si="36"/>
        <v>52.5420000000004</v>
      </c>
      <c r="W91">
        <f t="shared" si="37"/>
        <v>44.7299999999996</v>
      </c>
      <c r="X91">
        <f t="shared" si="38"/>
        <v>2229.35</v>
      </c>
      <c r="Y91">
        <f t="shared" si="39"/>
        <v>117487.344840288</v>
      </c>
      <c r="Z91">
        <f t="shared" si="40"/>
        <v>1053149.19838068</v>
      </c>
      <c r="AA91">
        <f t="shared" si="41"/>
        <v>3302.11129599999</v>
      </c>
      <c r="AB91">
        <f t="shared" si="42"/>
        <v>0.970224999999355</v>
      </c>
      <c r="AC91">
        <f t="shared" si="43"/>
        <v>156.25</v>
      </c>
      <c r="AD91">
        <f t="shared" si="44"/>
        <v>53453.4399999999</v>
      </c>
      <c r="AE91">
        <f t="shared" si="45"/>
        <v>2760.66176400004</v>
      </c>
      <c r="AF91">
        <f t="shared" si="46"/>
        <v>2000.77289999996</v>
      </c>
      <c r="AG91">
        <f t="shared" si="29"/>
        <v>4970001.4225</v>
      </c>
      <c r="AI91">
        <f t="shared" si="47"/>
        <v>16940926.9328704</v>
      </c>
      <c r="AJ91">
        <f t="shared" si="48"/>
        <v>11781846.3357797</v>
      </c>
      <c r="AK91">
        <f t="shared" si="49"/>
        <v>19370878.327696</v>
      </c>
      <c r="AL91">
        <f t="shared" si="50"/>
        <v>19871223.021225</v>
      </c>
      <c r="AM91">
        <f t="shared" si="51"/>
        <v>19768694.44</v>
      </c>
      <c r="AN91">
        <f t="shared" si="52"/>
        <v>17871756.25</v>
      </c>
      <c r="AO91">
        <f t="shared" si="53"/>
        <v>20351304.382564</v>
      </c>
      <c r="AP91">
        <f t="shared" si="54"/>
        <v>20280881.7649</v>
      </c>
    </row>
    <row r="92" spans="1:42">
      <c r="A92">
        <v>1</v>
      </c>
      <c r="B92">
        <v>18</v>
      </c>
      <c r="C92">
        <v>110</v>
      </c>
      <c r="D92">
        <v>45</v>
      </c>
      <c r="E92">
        <v>120</v>
      </c>
      <c r="F92">
        <v>6756</v>
      </c>
      <c r="G92">
        <v>6705.09111854072</v>
      </c>
      <c r="H92">
        <v>5866.27823809882</v>
      </c>
      <c r="I92">
        <v>7118.5</v>
      </c>
      <c r="J92">
        <v>6752.956</v>
      </c>
      <c r="K92">
        <v>6675.5</v>
      </c>
      <c r="L92">
        <v>6456.8</v>
      </c>
      <c r="M92">
        <v>6757.037</v>
      </c>
      <c r="N92">
        <v>6871.627</v>
      </c>
      <c r="P92">
        <f t="shared" si="30"/>
        <v>50.9088814592833</v>
      </c>
      <c r="Q92">
        <f t="shared" si="31"/>
        <v>889.721761901178</v>
      </c>
      <c r="R92">
        <f t="shared" si="32"/>
        <v>362.5</v>
      </c>
      <c r="S92">
        <f t="shared" si="33"/>
        <v>3.04399999999987</v>
      </c>
      <c r="T92">
        <f t="shared" si="34"/>
        <v>80.5</v>
      </c>
      <c r="U92">
        <f t="shared" si="35"/>
        <v>299.2</v>
      </c>
      <c r="V92">
        <f t="shared" si="36"/>
        <v>1.03700000000026</v>
      </c>
      <c r="W92">
        <f t="shared" si="37"/>
        <v>115.627</v>
      </c>
      <c r="X92">
        <f t="shared" si="38"/>
        <v>2297.35</v>
      </c>
      <c r="Y92">
        <f t="shared" si="39"/>
        <v>2591.71421143536</v>
      </c>
      <c r="Z92">
        <f t="shared" si="40"/>
        <v>791604.813600537</v>
      </c>
      <c r="AA92">
        <f t="shared" si="41"/>
        <v>131406.25</v>
      </c>
      <c r="AB92">
        <f t="shared" si="42"/>
        <v>9.2659359999992</v>
      </c>
      <c r="AC92">
        <f t="shared" si="43"/>
        <v>6480.25</v>
      </c>
      <c r="AD92">
        <f t="shared" si="44"/>
        <v>89520.6399999999</v>
      </c>
      <c r="AE92">
        <f t="shared" si="45"/>
        <v>1.07536900000054</v>
      </c>
      <c r="AF92">
        <f t="shared" si="46"/>
        <v>13369.6031290001</v>
      </c>
      <c r="AG92">
        <f t="shared" si="29"/>
        <v>5277817.0225</v>
      </c>
      <c r="AI92">
        <f t="shared" si="47"/>
        <v>20646037.7289295</v>
      </c>
      <c r="AJ92">
        <f t="shared" si="48"/>
        <v>13726863.7447859</v>
      </c>
      <c r="AK92">
        <f t="shared" si="49"/>
        <v>24573831.84</v>
      </c>
      <c r="AL92">
        <f t="shared" si="50"/>
        <v>21083304.822336</v>
      </c>
      <c r="AM92">
        <f t="shared" si="51"/>
        <v>20378001.64</v>
      </c>
      <c r="AN92">
        <f t="shared" si="52"/>
        <v>18451320.25</v>
      </c>
      <c r="AO92">
        <f t="shared" si="53"/>
        <v>21120798.573169</v>
      </c>
      <c r="AP92">
        <f t="shared" si="54"/>
        <v>22187180.446929</v>
      </c>
    </row>
    <row r="93" spans="1:42">
      <c r="A93">
        <v>2</v>
      </c>
      <c r="B93">
        <v>9</v>
      </c>
      <c r="C93">
        <v>10</v>
      </c>
      <c r="D93">
        <v>15</v>
      </c>
      <c r="E93">
        <v>60</v>
      </c>
      <c r="F93">
        <v>2097</v>
      </c>
      <c r="G93">
        <v>1251.40575300331</v>
      </c>
      <c r="H93">
        <v>1057.42262153918</v>
      </c>
      <c r="I93">
        <v>1887.65</v>
      </c>
      <c r="J93">
        <v>2025.117</v>
      </c>
      <c r="K93">
        <v>2150.556</v>
      </c>
      <c r="L93">
        <v>2141.5</v>
      </c>
      <c r="M93">
        <v>2112.233</v>
      </c>
      <c r="N93">
        <v>2061.251</v>
      </c>
      <c r="P93">
        <f t="shared" si="30"/>
        <v>845.594246996693</v>
      </c>
      <c r="Q93">
        <f t="shared" si="31"/>
        <v>1039.57737846082</v>
      </c>
      <c r="R93">
        <f t="shared" si="32"/>
        <v>209.35</v>
      </c>
      <c r="S93">
        <f t="shared" si="33"/>
        <v>71.883</v>
      </c>
      <c r="T93">
        <f t="shared" si="34"/>
        <v>53.556</v>
      </c>
      <c r="U93">
        <f t="shared" si="35"/>
        <v>44.5</v>
      </c>
      <c r="V93">
        <f t="shared" si="36"/>
        <v>15.2330000000002</v>
      </c>
      <c r="W93">
        <f t="shared" si="37"/>
        <v>35.7489999999998</v>
      </c>
      <c r="X93">
        <f t="shared" si="38"/>
        <v>2361.65</v>
      </c>
      <c r="Y93">
        <f t="shared" si="39"/>
        <v>715029.630553904</v>
      </c>
      <c r="Z93">
        <f t="shared" si="40"/>
        <v>1080721.12580747</v>
      </c>
      <c r="AA93">
        <f t="shared" si="41"/>
        <v>43827.4225</v>
      </c>
      <c r="AB93">
        <f t="shared" si="42"/>
        <v>5167.16568900001</v>
      </c>
      <c r="AC93">
        <f t="shared" si="43"/>
        <v>2868.245136</v>
      </c>
      <c r="AD93">
        <f t="shared" si="44"/>
        <v>1980.25</v>
      </c>
      <c r="AE93">
        <f t="shared" si="45"/>
        <v>232.044289000005</v>
      </c>
      <c r="AF93">
        <f t="shared" si="46"/>
        <v>1277.99100099999</v>
      </c>
      <c r="AG93">
        <f t="shared" si="29"/>
        <v>5577390.7225</v>
      </c>
      <c r="AI93">
        <f t="shared" si="47"/>
        <v>31012583.1342329</v>
      </c>
      <c r="AJ93">
        <f t="shared" si="48"/>
        <v>33210755.6791755</v>
      </c>
      <c r="AK93">
        <f t="shared" si="49"/>
        <v>24331036.0225</v>
      </c>
      <c r="AL93">
        <f t="shared" si="50"/>
        <v>22993780.003489</v>
      </c>
      <c r="AM93">
        <f t="shared" si="51"/>
        <v>21806509.025536</v>
      </c>
      <c r="AN93">
        <f t="shared" si="52"/>
        <v>21891169.44</v>
      </c>
      <c r="AO93">
        <f t="shared" si="53"/>
        <v>22165894.876489</v>
      </c>
      <c r="AP93">
        <f t="shared" si="54"/>
        <v>22648547.384401</v>
      </c>
    </row>
    <row r="94" spans="1:42">
      <c r="A94">
        <v>2</v>
      </c>
      <c r="B94">
        <v>9</v>
      </c>
      <c r="C94">
        <v>20</v>
      </c>
      <c r="D94">
        <v>15</v>
      </c>
      <c r="E94">
        <v>60</v>
      </c>
      <c r="F94">
        <v>2112</v>
      </c>
      <c r="G94">
        <v>1611.26114161937</v>
      </c>
      <c r="H94">
        <v>1368.74308175314</v>
      </c>
      <c r="I94">
        <v>2005.058</v>
      </c>
      <c r="J94">
        <v>2222.741</v>
      </c>
      <c r="K94">
        <v>2150.556</v>
      </c>
      <c r="L94">
        <v>2141.5</v>
      </c>
      <c r="M94">
        <v>2104.629</v>
      </c>
      <c r="N94">
        <v>2095.465</v>
      </c>
      <c r="P94">
        <f t="shared" si="30"/>
        <v>500.738858380626</v>
      </c>
      <c r="Q94">
        <f t="shared" si="31"/>
        <v>743.256918246855</v>
      </c>
      <c r="R94">
        <f t="shared" si="32"/>
        <v>106.942</v>
      </c>
      <c r="S94">
        <f t="shared" si="33"/>
        <v>110.741</v>
      </c>
      <c r="T94">
        <f t="shared" si="34"/>
        <v>38.556</v>
      </c>
      <c r="U94">
        <f t="shared" si="35"/>
        <v>29.5</v>
      </c>
      <c r="V94">
        <f t="shared" si="36"/>
        <v>7.37100000000009</v>
      </c>
      <c r="W94">
        <f t="shared" si="37"/>
        <v>16.5349999999999</v>
      </c>
      <c r="X94">
        <f t="shared" si="38"/>
        <v>2346.65</v>
      </c>
      <c r="Y94">
        <f t="shared" si="39"/>
        <v>250739.404292332</v>
      </c>
      <c r="Z94">
        <f t="shared" si="40"/>
        <v>552430.846521813</v>
      </c>
      <c r="AA94">
        <f t="shared" si="41"/>
        <v>11436.591364</v>
      </c>
      <c r="AB94">
        <f t="shared" si="42"/>
        <v>12263.569081</v>
      </c>
      <c r="AC94">
        <f t="shared" si="43"/>
        <v>1486.565136</v>
      </c>
      <c r="AD94">
        <f t="shared" si="44"/>
        <v>870.25</v>
      </c>
      <c r="AE94">
        <f t="shared" si="45"/>
        <v>54.3316410000014</v>
      </c>
      <c r="AF94">
        <f t="shared" si="46"/>
        <v>273.406224999995</v>
      </c>
      <c r="AG94">
        <f t="shared" si="29"/>
        <v>5506766.2225</v>
      </c>
      <c r="AI94">
        <f t="shared" si="47"/>
        <v>26978039.6623679</v>
      </c>
      <c r="AJ94">
        <f t="shared" si="48"/>
        <v>29556151.1253377</v>
      </c>
      <c r="AK94">
        <f t="shared" si="49"/>
        <v>23042323.258564</v>
      </c>
      <c r="AL94">
        <f t="shared" si="50"/>
        <v>20999846.988481</v>
      </c>
      <c r="AM94">
        <f t="shared" si="51"/>
        <v>21666641.705536</v>
      </c>
      <c r="AN94">
        <f t="shared" si="52"/>
        <v>21751030.44</v>
      </c>
      <c r="AO94">
        <f t="shared" si="53"/>
        <v>22096307.850241</v>
      </c>
      <c r="AP94">
        <f t="shared" si="54"/>
        <v>22182545.727225</v>
      </c>
    </row>
    <row r="95" spans="1:42">
      <c r="A95">
        <v>2</v>
      </c>
      <c r="B95">
        <v>9</v>
      </c>
      <c r="C95">
        <v>25</v>
      </c>
      <c r="D95">
        <v>15</v>
      </c>
      <c r="E95">
        <v>60</v>
      </c>
      <c r="F95">
        <v>2113</v>
      </c>
      <c r="G95">
        <v>1791.18883592741</v>
      </c>
      <c r="H95">
        <v>1487.30998614218</v>
      </c>
      <c r="I95">
        <v>2063.762</v>
      </c>
      <c r="J95">
        <v>2129.214</v>
      </c>
      <c r="K95">
        <v>2150.556</v>
      </c>
      <c r="L95">
        <v>2141.5</v>
      </c>
      <c r="M95">
        <v>2113.917</v>
      </c>
      <c r="N95">
        <v>2113.5</v>
      </c>
      <c r="P95">
        <f t="shared" si="30"/>
        <v>321.811164072592</v>
      </c>
      <c r="Q95">
        <f t="shared" si="31"/>
        <v>625.690013857821</v>
      </c>
      <c r="R95">
        <f t="shared" si="32"/>
        <v>49.2379999999998</v>
      </c>
      <c r="S95">
        <f t="shared" si="33"/>
        <v>16.2139999999999</v>
      </c>
      <c r="T95">
        <f t="shared" si="34"/>
        <v>37.556</v>
      </c>
      <c r="U95">
        <f t="shared" si="35"/>
        <v>28.5</v>
      </c>
      <c r="V95">
        <f t="shared" si="36"/>
        <v>0.916999999999916</v>
      </c>
      <c r="W95">
        <f t="shared" si="37"/>
        <v>0.5</v>
      </c>
      <c r="X95">
        <f t="shared" si="38"/>
        <v>2345.65</v>
      </c>
      <c r="Y95">
        <f t="shared" si="39"/>
        <v>103562.425321756</v>
      </c>
      <c r="Z95">
        <f t="shared" si="40"/>
        <v>391487.9934414</v>
      </c>
      <c r="AA95">
        <f t="shared" si="41"/>
        <v>2424.38064399998</v>
      </c>
      <c r="AB95">
        <f t="shared" si="42"/>
        <v>262.893795999998</v>
      </c>
      <c r="AC95">
        <f t="shared" si="43"/>
        <v>1410.453136</v>
      </c>
      <c r="AD95">
        <f t="shared" si="44"/>
        <v>812.25</v>
      </c>
      <c r="AE95">
        <f t="shared" si="45"/>
        <v>0.840888999999847</v>
      </c>
      <c r="AF95">
        <f t="shared" si="46"/>
        <v>0.25</v>
      </c>
      <c r="AG95">
        <f t="shared" si="29"/>
        <v>5502073.9225</v>
      </c>
      <c r="AI95">
        <f t="shared" si="47"/>
        <v>25131283.5433492</v>
      </c>
      <c r="AJ95">
        <f t="shared" si="48"/>
        <v>28270382.8074638</v>
      </c>
      <c r="AK95">
        <f t="shared" si="49"/>
        <v>22472700.529444</v>
      </c>
      <c r="AL95">
        <f t="shared" si="50"/>
        <v>21856429.107396</v>
      </c>
      <c r="AM95">
        <f t="shared" si="51"/>
        <v>21657333.217536</v>
      </c>
      <c r="AN95">
        <f t="shared" si="52"/>
        <v>21741703.84</v>
      </c>
      <c r="AO95">
        <f t="shared" si="53"/>
        <v>21999692.686689</v>
      </c>
      <c r="AP95">
        <f t="shared" si="54"/>
        <v>22003604.64</v>
      </c>
    </row>
    <row r="96" spans="1:42">
      <c r="A96">
        <v>2</v>
      </c>
      <c r="B96">
        <v>9</v>
      </c>
      <c r="C96">
        <v>35</v>
      </c>
      <c r="D96">
        <v>15</v>
      </c>
      <c r="E96">
        <v>60</v>
      </c>
      <c r="F96">
        <v>2142</v>
      </c>
      <c r="G96">
        <v>2151.04422454348</v>
      </c>
      <c r="H96">
        <v>1685.79553701444</v>
      </c>
      <c r="I96">
        <v>2181.17</v>
      </c>
      <c r="J96">
        <v>2096.567</v>
      </c>
      <c r="K96">
        <v>2150.556</v>
      </c>
      <c r="L96">
        <v>2141.5</v>
      </c>
      <c r="M96">
        <v>2139.4</v>
      </c>
      <c r="N96">
        <v>2148.428</v>
      </c>
      <c r="P96">
        <f t="shared" si="30"/>
        <v>9.04422454347605</v>
      </c>
      <c r="Q96">
        <f t="shared" si="31"/>
        <v>456.204462985565</v>
      </c>
      <c r="R96">
        <f t="shared" si="32"/>
        <v>39.1700000000001</v>
      </c>
      <c r="S96">
        <f t="shared" si="33"/>
        <v>45.433</v>
      </c>
      <c r="T96">
        <f t="shared" si="34"/>
        <v>8.55600000000004</v>
      </c>
      <c r="U96">
        <f t="shared" si="35"/>
        <v>0.5</v>
      </c>
      <c r="V96">
        <f t="shared" si="36"/>
        <v>2.59999999999991</v>
      </c>
      <c r="W96">
        <f t="shared" si="37"/>
        <v>6.42799999999988</v>
      </c>
      <c r="X96">
        <f t="shared" si="38"/>
        <v>2316.65</v>
      </c>
      <c r="Y96">
        <f t="shared" si="39"/>
        <v>81.7979975928145</v>
      </c>
      <c r="Z96">
        <f t="shared" si="40"/>
        <v>208122.512047948</v>
      </c>
      <c r="AA96">
        <f t="shared" si="41"/>
        <v>1534.28890000001</v>
      </c>
      <c r="AB96">
        <f t="shared" si="42"/>
        <v>2064.157489</v>
      </c>
      <c r="AC96">
        <f t="shared" si="43"/>
        <v>73.2051360000007</v>
      </c>
      <c r="AD96">
        <f t="shared" si="44"/>
        <v>0.25</v>
      </c>
      <c r="AE96">
        <f t="shared" si="45"/>
        <v>6.75999999999953</v>
      </c>
      <c r="AF96">
        <f t="shared" si="46"/>
        <v>41.3191839999985</v>
      </c>
      <c r="AG96">
        <f t="shared" si="29"/>
        <v>5366867.2225</v>
      </c>
      <c r="AI96">
        <f t="shared" si="47"/>
        <v>21383741.476843</v>
      </c>
      <c r="AJ96">
        <f t="shared" si="48"/>
        <v>25903055.67875</v>
      </c>
      <c r="AK96">
        <f t="shared" si="49"/>
        <v>21106030.4569</v>
      </c>
      <c r="AL96">
        <f t="shared" si="50"/>
        <v>21890542.485289</v>
      </c>
      <c r="AM96">
        <f t="shared" si="51"/>
        <v>21388257.065536</v>
      </c>
      <c r="AN96">
        <f t="shared" si="52"/>
        <v>21472102.44</v>
      </c>
      <c r="AO96">
        <f t="shared" si="53"/>
        <v>21491568.81</v>
      </c>
      <c r="AP96">
        <f t="shared" si="54"/>
        <v>21407944.504384</v>
      </c>
    </row>
    <row r="97" spans="1:42">
      <c r="A97">
        <v>2</v>
      </c>
      <c r="B97">
        <v>9</v>
      </c>
      <c r="C97">
        <v>40</v>
      </c>
      <c r="D97">
        <v>15</v>
      </c>
      <c r="E97">
        <v>60</v>
      </c>
      <c r="F97">
        <v>2149</v>
      </c>
      <c r="G97">
        <v>2330.97191885151</v>
      </c>
      <c r="H97">
        <v>1771.72077245719</v>
      </c>
      <c r="I97">
        <v>2239.874</v>
      </c>
      <c r="J97">
        <v>2168.494</v>
      </c>
      <c r="K97">
        <v>2150.556</v>
      </c>
      <c r="L97">
        <v>2141.5</v>
      </c>
      <c r="M97">
        <v>2151.437</v>
      </c>
      <c r="N97">
        <v>2164.614</v>
      </c>
      <c r="P97">
        <f t="shared" si="30"/>
        <v>181.97191885151</v>
      </c>
      <c r="Q97">
        <f t="shared" si="31"/>
        <v>377.279227542815</v>
      </c>
      <c r="R97">
        <f t="shared" si="32"/>
        <v>90.8739999999998</v>
      </c>
      <c r="S97">
        <f t="shared" si="33"/>
        <v>19.4940000000001</v>
      </c>
      <c r="T97">
        <f t="shared" si="34"/>
        <v>1.55600000000004</v>
      </c>
      <c r="U97">
        <f t="shared" si="35"/>
        <v>7.5</v>
      </c>
      <c r="V97">
        <f t="shared" si="36"/>
        <v>2.4369999999999</v>
      </c>
      <c r="W97">
        <f t="shared" si="37"/>
        <v>15.614</v>
      </c>
      <c r="X97">
        <f t="shared" si="38"/>
        <v>2309.65</v>
      </c>
      <c r="Y97">
        <f t="shared" si="39"/>
        <v>33113.7792505004</v>
      </c>
      <c r="Z97">
        <f t="shared" si="40"/>
        <v>142339.615535303</v>
      </c>
      <c r="AA97">
        <f t="shared" si="41"/>
        <v>8258.08387599996</v>
      </c>
      <c r="AB97">
        <f t="shared" si="42"/>
        <v>380.016036000006</v>
      </c>
      <c r="AC97">
        <f t="shared" si="43"/>
        <v>2.42113600000012</v>
      </c>
      <c r="AD97">
        <f t="shared" si="44"/>
        <v>56.25</v>
      </c>
      <c r="AE97">
        <f t="shared" si="45"/>
        <v>5.9389689999995</v>
      </c>
      <c r="AF97">
        <f t="shared" si="46"/>
        <v>243.796996000001</v>
      </c>
      <c r="AG97">
        <f t="shared" si="29"/>
        <v>5334483.1225</v>
      </c>
      <c r="AI97">
        <f t="shared" si="47"/>
        <v>19689880.4997489</v>
      </c>
      <c r="AJ97">
        <f t="shared" si="48"/>
        <v>24965803.9771123</v>
      </c>
      <c r="AK97">
        <f t="shared" si="49"/>
        <v>20506642.037476</v>
      </c>
      <c r="AL97">
        <f t="shared" si="50"/>
        <v>21158215.237636</v>
      </c>
      <c r="AM97">
        <f t="shared" si="51"/>
        <v>21323559.649536</v>
      </c>
      <c r="AN97">
        <f t="shared" si="52"/>
        <v>21407278.24</v>
      </c>
      <c r="AO97">
        <f t="shared" si="53"/>
        <v>21315423.960769</v>
      </c>
      <c r="AP97">
        <f t="shared" si="54"/>
        <v>21193924.786596</v>
      </c>
    </row>
    <row r="98" spans="1:42">
      <c r="A98">
        <v>2</v>
      </c>
      <c r="B98">
        <v>9</v>
      </c>
      <c r="C98">
        <v>45</v>
      </c>
      <c r="D98">
        <v>15</v>
      </c>
      <c r="E98">
        <v>60</v>
      </c>
      <c r="F98">
        <v>2159</v>
      </c>
      <c r="G98">
        <v>2510.89961315954</v>
      </c>
      <c r="H98">
        <v>1851.14031646263</v>
      </c>
      <c r="I98">
        <v>2298.578</v>
      </c>
      <c r="J98">
        <v>2166.335</v>
      </c>
      <c r="K98">
        <v>2150.556</v>
      </c>
      <c r="L98">
        <v>2141.5</v>
      </c>
      <c r="M98">
        <v>2162.726</v>
      </c>
      <c r="N98">
        <v>2179.785</v>
      </c>
      <c r="P98">
        <f t="shared" si="30"/>
        <v>351.899613159544</v>
      </c>
      <c r="Q98">
        <f t="shared" si="31"/>
        <v>307.859683537368</v>
      </c>
      <c r="R98">
        <f t="shared" si="32"/>
        <v>139.578</v>
      </c>
      <c r="S98">
        <f t="shared" si="33"/>
        <v>7.33500000000004</v>
      </c>
      <c r="T98">
        <f t="shared" si="34"/>
        <v>8.44399999999996</v>
      </c>
      <c r="U98">
        <f t="shared" si="35"/>
        <v>17.5</v>
      </c>
      <c r="V98">
        <f t="shared" si="36"/>
        <v>3.72600000000011</v>
      </c>
      <c r="W98">
        <f t="shared" si="37"/>
        <v>20.7849999999999</v>
      </c>
      <c r="X98">
        <f t="shared" si="38"/>
        <v>2299.65</v>
      </c>
      <c r="Y98">
        <f t="shared" si="39"/>
        <v>123833.337741836</v>
      </c>
      <c r="Z98">
        <f t="shared" si="40"/>
        <v>94777.5847477281</v>
      </c>
      <c r="AA98">
        <f t="shared" si="41"/>
        <v>19482.018084</v>
      </c>
      <c r="AB98">
        <f t="shared" si="42"/>
        <v>53.8022250000005</v>
      </c>
      <c r="AC98">
        <f t="shared" si="43"/>
        <v>71.3011359999993</v>
      </c>
      <c r="AD98">
        <f t="shared" si="44"/>
        <v>306.25</v>
      </c>
      <c r="AE98">
        <f t="shared" si="45"/>
        <v>13.8830760000008</v>
      </c>
      <c r="AF98">
        <f t="shared" si="46"/>
        <v>432.016224999994</v>
      </c>
      <c r="AG98">
        <f t="shared" si="29"/>
        <v>5288390.1225</v>
      </c>
      <c r="AI98">
        <f t="shared" si="47"/>
        <v>18040410.0461325</v>
      </c>
      <c r="AJ98">
        <f t="shared" si="48"/>
        <v>24080216.1597345</v>
      </c>
      <c r="AK98">
        <f t="shared" si="49"/>
        <v>19889120.317284</v>
      </c>
      <c r="AL98">
        <f t="shared" si="50"/>
        <v>21086142.561225</v>
      </c>
      <c r="AM98">
        <f t="shared" si="51"/>
        <v>21231304.769536</v>
      </c>
      <c r="AN98">
        <f t="shared" si="52"/>
        <v>21314842.24</v>
      </c>
      <c r="AO98">
        <f t="shared" si="53"/>
        <v>21119300.389476</v>
      </c>
      <c r="AP98">
        <f t="shared" si="54"/>
        <v>20962799.605225</v>
      </c>
    </row>
    <row r="99" spans="1:42">
      <c r="A99">
        <v>2</v>
      </c>
      <c r="B99">
        <v>9</v>
      </c>
      <c r="C99">
        <v>50</v>
      </c>
      <c r="D99">
        <v>15</v>
      </c>
      <c r="E99">
        <v>60</v>
      </c>
      <c r="F99">
        <v>2178</v>
      </c>
      <c r="G99">
        <v>2690.82730746758</v>
      </c>
      <c r="H99">
        <v>1925.19548238078</v>
      </c>
      <c r="I99">
        <v>2357.282</v>
      </c>
      <c r="J99">
        <v>2271.518</v>
      </c>
      <c r="K99">
        <v>2150.556</v>
      </c>
      <c r="L99">
        <v>2141.5</v>
      </c>
      <c r="M99">
        <v>2174.335</v>
      </c>
      <c r="N99">
        <v>2194.052</v>
      </c>
      <c r="P99">
        <f t="shared" si="30"/>
        <v>512.827307467578</v>
      </c>
      <c r="Q99">
        <f t="shared" si="31"/>
        <v>252.804517619215</v>
      </c>
      <c r="R99">
        <f t="shared" si="32"/>
        <v>179.282</v>
      </c>
      <c r="S99">
        <f t="shared" si="33"/>
        <v>93.518</v>
      </c>
      <c r="T99">
        <f t="shared" si="34"/>
        <v>27.444</v>
      </c>
      <c r="U99">
        <f t="shared" si="35"/>
        <v>36.5</v>
      </c>
      <c r="V99">
        <f t="shared" si="36"/>
        <v>3.66499999999996</v>
      </c>
      <c r="W99">
        <f t="shared" si="37"/>
        <v>16.0520000000001</v>
      </c>
      <c r="X99">
        <f t="shared" si="38"/>
        <v>2280.65</v>
      </c>
      <c r="Y99">
        <f t="shared" si="39"/>
        <v>262991.847284445</v>
      </c>
      <c r="Z99">
        <f t="shared" si="40"/>
        <v>63910.1241286842</v>
      </c>
      <c r="AA99">
        <f t="shared" si="41"/>
        <v>32142.0355240001</v>
      </c>
      <c r="AB99">
        <f t="shared" si="42"/>
        <v>8745.61632400001</v>
      </c>
      <c r="AC99">
        <f t="shared" si="43"/>
        <v>753.173135999998</v>
      </c>
      <c r="AD99">
        <f t="shared" si="44"/>
        <v>1332.25</v>
      </c>
      <c r="AE99">
        <f t="shared" si="45"/>
        <v>13.4322249999997</v>
      </c>
      <c r="AF99">
        <f t="shared" si="46"/>
        <v>257.666704000004</v>
      </c>
      <c r="AG99">
        <f t="shared" si="29"/>
        <v>5201364.4225</v>
      </c>
      <c r="AI99">
        <f t="shared" si="47"/>
        <v>16390131.1421807</v>
      </c>
      <c r="AJ99">
        <f t="shared" si="48"/>
        <v>23175602.3065617</v>
      </c>
      <c r="AK99">
        <f t="shared" si="49"/>
        <v>19202081.752324</v>
      </c>
      <c r="AL99">
        <f t="shared" si="50"/>
        <v>19961075.999524</v>
      </c>
      <c r="AM99">
        <f t="shared" si="51"/>
        <v>21056571.497536</v>
      </c>
      <c r="AN99">
        <f t="shared" si="52"/>
        <v>21139764.84</v>
      </c>
      <c r="AO99">
        <f t="shared" si="53"/>
        <v>20838905.451225</v>
      </c>
      <c r="AP99">
        <f t="shared" si="54"/>
        <v>20659279.381504</v>
      </c>
    </row>
    <row r="100" spans="1:42">
      <c r="A100">
        <v>2</v>
      </c>
      <c r="B100">
        <v>9</v>
      </c>
      <c r="C100">
        <v>55</v>
      </c>
      <c r="D100">
        <v>15</v>
      </c>
      <c r="E100">
        <v>60</v>
      </c>
      <c r="F100">
        <v>2182</v>
      </c>
      <c r="G100">
        <v>2870.75500177561</v>
      </c>
      <c r="H100">
        <v>1994.73548281117</v>
      </c>
      <c r="I100">
        <v>2415.986</v>
      </c>
      <c r="J100">
        <v>2434.032</v>
      </c>
      <c r="K100">
        <v>2150.556</v>
      </c>
      <c r="L100">
        <v>2141.5</v>
      </c>
      <c r="M100">
        <v>2187.638</v>
      </c>
      <c r="N100">
        <v>2207.709</v>
      </c>
      <c r="P100">
        <f t="shared" si="30"/>
        <v>688.755001775612</v>
      </c>
      <c r="Q100">
        <f t="shared" si="31"/>
        <v>187.264517188828</v>
      </c>
      <c r="R100">
        <f t="shared" si="32"/>
        <v>233.986</v>
      </c>
      <c r="S100">
        <f t="shared" si="33"/>
        <v>252.032</v>
      </c>
      <c r="T100">
        <f t="shared" si="34"/>
        <v>31.444</v>
      </c>
      <c r="U100">
        <f t="shared" si="35"/>
        <v>40.5</v>
      </c>
      <c r="V100">
        <f t="shared" si="36"/>
        <v>5.63799999999992</v>
      </c>
      <c r="W100">
        <f t="shared" si="37"/>
        <v>25.7089999999998</v>
      </c>
      <c r="X100">
        <f t="shared" si="38"/>
        <v>2276.65</v>
      </c>
      <c r="Y100">
        <f t="shared" si="39"/>
        <v>474383.452470923</v>
      </c>
      <c r="Z100">
        <f t="shared" si="40"/>
        <v>35067.9993979648</v>
      </c>
      <c r="AA100">
        <f t="shared" si="41"/>
        <v>54749.4481959999</v>
      </c>
      <c r="AB100">
        <f t="shared" si="42"/>
        <v>63520.1290240001</v>
      </c>
      <c r="AC100">
        <f t="shared" si="43"/>
        <v>988.725135999998</v>
      </c>
      <c r="AD100">
        <f t="shared" si="44"/>
        <v>1640.25</v>
      </c>
      <c r="AE100">
        <f t="shared" si="45"/>
        <v>31.7870439999991</v>
      </c>
      <c r="AF100">
        <f t="shared" si="46"/>
        <v>660.952680999991</v>
      </c>
      <c r="AG100">
        <f t="shared" si="29"/>
        <v>5183135.2225</v>
      </c>
      <c r="AI100">
        <f t="shared" si="47"/>
        <v>14934708.0433011</v>
      </c>
      <c r="AJ100">
        <f t="shared" si="48"/>
        <v>22472951.9416297</v>
      </c>
      <c r="AK100">
        <f t="shared" si="49"/>
        <v>18656473.430596</v>
      </c>
      <c r="AL100">
        <f t="shared" si="50"/>
        <v>18500906.407824</v>
      </c>
      <c r="AM100">
        <f t="shared" si="51"/>
        <v>21019877.545536</v>
      </c>
      <c r="AN100">
        <f t="shared" si="52"/>
        <v>21102998.44</v>
      </c>
      <c r="AO100">
        <f t="shared" si="53"/>
        <v>20681229.666244</v>
      </c>
      <c r="AP100">
        <f t="shared" si="54"/>
        <v>20499080.263281</v>
      </c>
    </row>
    <row r="101" spans="1:42">
      <c r="A101">
        <v>2</v>
      </c>
      <c r="B101">
        <v>9</v>
      </c>
      <c r="C101">
        <v>65</v>
      </c>
      <c r="D101">
        <v>15</v>
      </c>
      <c r="E101">
        <v>60</v>
      </c>
      <c r="F101">
        <v>2223</v>
      </c>
      <c r="G101">
        <v>3230.61039039168</v>
      </c>
      <c r="H101">
        <v>2122.73556240236</v>
      </c>
      <c r="I101">
        <v>2533.394</v>
      </c>
      <c r="J101">
        <v>2200.483</v>
      </c>
      <c r="K101">
        <v>2150.556</v>
      </c>
      <c r="L101">
        <v>2366</v>
      </c>
      <c r="M101">
        <v>2223.551</v>
      </c>
      <c r="N101">
        <v>2235.166</v>
      </c>
      <c r="P101">
        <f t="shared" si="30"/>
        <v>1007.61039039168</v>
      </c>
      <c r="Q101">
        <f t="shared" si="31"/>
        <v>100.26443759764</v>
      </c>
      <c r="R101">
        <f t="shared" si="32"/>
        <v>310.394</v>
      </c>
      <c r="S101">
        <f t="shared" si="33"/>
        <v>22.5169999999998</v>
      </c>
      <c r="T101">
        <f t="shared" si="34"/>
        <v>72.444</v>
      </c>
      <c r="U101">
        <f t="shared" si="35"/>
        <v>143</v>
      </c>
      <c r="V101">
        <f t="shared" si="36"/>
        <v>0.550999999999931</v>
      </c>
      <c r="W101">
        <f t="shared" si="37"/>
        <v>12.1660000000002</v>
      </c>
      <c r="X101">
        <f t="shared" si="38"/>
        <v>2235.65</v>
      </c>
      <c r="Y101">
        <f t="shared" si="39"/>
        <v>1015278.69882527</v>
      </c>
      <c r="Z101">
        <f t="shared" si="40"/>
        <v>10052.957446771</v>
      </c>
      <c r="AA101">
        <f t="shared" si="41"/>
        <v>96344.4352359999</v>
      </c>
      <c r="AB101">
        <f t="shared" si="42"/>
        <v>507.015288999992</v>
      </c>
      <c r="AC101">
        <f t="shared" si="43"/>
        <v>5248.13313599999</v>
      </c>
      <c r="AD101">
        <f t="shared" si="44"/>
        <v>20449</v>
      </c>
      <c r="AE101">
        <f t="shared" si="45"/>
        <v>0.303600999999924</v>
      </c>
      <c r="AF101">
        <f t="shared" si="46"/>
        <v>148.011556000004</v>
      </c>
      <c r="AG101">
        <f t="shared" si="29"/>
        <v>4998130.9225</v>
      </c>
      <c r="AI101">
        <f t="shared" si="47"/>
        <v>11997145.7117086</v>
      </c>
      <c r="AJ101">
        <f t="shared" si="48"/>
        <v>20899201.4071074</v>
      </c>
      <c r="AK101">
        <f t="shared" si="49"/>
        <v>17313138.740836</v>
      </c>
      <c r="AL101">
        <f t="shared" si="50"/>
        <v>20194391.229489</v>
      </c>
      <c r="AM101">
        <f t="shared" si="51"/>
        <v>20645609.537536</v>
      </c>
      <c r="AN101">
        <f t="shared" si="52"/>
        <v>18734180.89</v>
      </c>
      <c r="AO101">
        <f t="shared" si="53"/>
        <v>19987596.621001</v>
      </c>
      <c r="AP101">
        <f t="shared" si="54"/>
        <v>19883876.029956</v>
      </c>
    </row>
    <row r="102" spans="1:42">
      <c r="A102">
        <v>2</v>
      </c>
      <c r="B102">
        <v>9</v>
      </c>
      <c r="C102">
        <v>80</v>
      </c>
      <c r="D102">
        <v>15</v>
      </c>
      <c r="E102">
        <v>60</v>
      </c>
      <c r="F102">
        <v>2298</v>
      </c>
      <c r="G102">
        <v>3770.39347331578</v>
      </c>
      <c r="H102">
        <v>2293.34090334596</v>
      </c>
      <c r="I102">
        <v>2709.506</v>
      </c>
      <c r="J102">
        <v>2418.298</v>
      </c>
      <c r="K102">
        <v>2389.833</v>
      </c>
      <c r="L102">
        <v>2366</v>
      </c>
      <c r="M102">
        <v>2300.741</v>
      </c>
      <c r="N102">
        <v>2287.153</v>
      </c>
      <c r="P102">
        <f t="shared" si="30"/>
        <v>1472.39347331578</v>
      </c>
      <c r="Q102">
        <f t="shared" si="31"/>
        <v>4.65909665404479</v>
      </c>
      <c r="R102">
        <f t="shared" si="32"/>
        <v>411.506</v>
      </c>
      <c r="S102">
        <f t="shared" si="33"/>
        <v>120.298</v>
      </c>
      <c r="T102">
        <f t="shared" si="34"/>
        <v>91.8330000000001</v>
      </c>
      <c r="U102">
        <f t="shared" si="35"/>
        <v>68</v>
      </c>
      <c r="V102">
        <f t="shared" si="36"/>
        <v>2.74099999999999</v>
      </c>
      <c r="W102">
        <f t="shared" si="37"/>
        <v>10.8470000000002</v>
      </c>
      <c r="X102">
        <f t="shared" si="38"/>
        <v>2160.65</v>
      </c>
      <c r="Y102">
        <f t="shared" si="39"/>
        <v>2167942.54026291</v>
      </c>
      <c r="Z102">
        <f t="shared" si="40"/>
        <v>21.7071816317313</v>
      </c>
      <c r="AA102">
        <f t="shared" si="41"/>
        <v>169337.188036</v>
      </c>
      <c r="AB102">
        <f t="shared" si="42"/>
        <v>14471.6088039999</v>
      </c>
      <c r="AC102">
        <f t="shared" si="43"/>
        <v>8433.29988900002</v>
      </c>
      <c r="AD102">
        <f t="shared" si="44"/>
        <v>4624</v>
      </c>
      <c r="AE102">
        <f t="shared" si="45"/>
        <v>7.51308099999992</v>
      </c>
      <c r="AF102">
        <f t="shared" si="46"/>
        <v>117.657409000004</v>
      </c>
      <c r="AG102">
        <f t="shared" si="29"/>
        <v>4668408.4225</v>
      </c>
      <c r="AI102">
        <f t="shared" si="47"/>
        <v>8116268.39778394</v>
      </c>
      <c r="AJ102">
        <f t="shared" si="48"/>
        <v>18713922.1059239</v>
      </c>
      <c r="AK102">
        <f t="shared" si="49"/>
        <v>15286489.122436</v>
      </c>
      <c r="AL102">
        <f t="shared" si="50"/>
        <v>17648417.804004</v>
      </c>
      <c r="AM102">
        <f t="shared" si="51"/>
        <v>17888391.104089</v>
      </c>
      <c r="AN102">
        <f t="shared" si="52"/>
        <v>18090560.89</v>
      </c>
      <c r="AO102">
        <f t="shared" si="53"/>
        <v>18649951.836481</v>
      </c>
      <c r="AP102">
        <f t="shared" si="54"/>
        <v>18767497.629609</v>
      </c>
    </row>
    <row r="103" spans="1:42">
      <c r="A103">
        <v>2</v>
      </c>
      <c r="B103">
        <v>9</v>
      </c>
      <c r="C103">
        <v>85</v>
      </c>
      <c r="D103">
        <v>15</v>
      </c>
      <c r="E103">
        <v>60</v>
      </c>
      <c r="F103">
        <v>2312</v>
      </c>
      <c r="G103">
        <v>3950.32116762381</v>
      </c>
      <c r="H103">
        <v>2345.69136873258</v>
      </c>
      <c r="I103">
        <v>2768.21</v>
      </c>
      <c r="J103">
        <v>2435.382</v>
      </c>
      <c r="K103">
        <v>2389.833</v>
      </c>
      <c r="L103">
        <v>2366</v>
      </c>
      <c r="M103">
        <v>2328.677</v>
      </c>
      <c r="N103">
        <v>2310.574</v>
      </c>
      <c r="P103">
        <f t="shared" si="30"/>
        <v>1638.32116762381</v>
      </c>
      <c r="Q103">
        <f t="shared" si="31"/>
        <v>33.6913687325814</v>
      </c>
      <c r="R103">
        <f t="shared" si="32"/>
        <v>456.21</v>
      </c>
      <c r="S103">
        <f t="shared" si="33"/>
        <v>123.382</v>
      </c>
      <c r="T103">
        <f t="shared" si="34"/>
        <v>77.8330000000001</v>
      </c>
      <c r="U103">
        <f t="shared" si="35"/>
        <v>54</v>
      </c>
      <c r="V103">
        <f t="shared" si="36"/>
        <v>16.6770000000001</v>
      </c>
      <c r="W103">
        <f t="shared" si="37"/>
        <v>1.42599999999993</v>
      </c>
      <c r="X103">
        <f t="shared" si="38"/>
        <v>2146.65</v>
      </c>
      <c r="Y103">
        <f t="shared" si="39"/>
        <v>2684096.24828426</v>
      </c>
      <c r="Z103">
        <f t="shared" si="40"/>
        <v>1135.10832707476</v>
      </c>
      <c r="AA103">
        <f t="shared" si="41"/>
        <v>208127.5641</v>
      </c>
      <c r="AB103">
        <f t="shared" si="42"/>
        <v>15223.117924</v>
      </c>
      <c r="AC103">
        <f t="shared" si="43"/>
        <v>6057.97588900001</v>
      </c>
      <c r="AD103">
        <f t="shared" si="44"/>
        <v>2916</v>
      </c>
      <c r="AE103">
        <f t="shared" si="45"/>
        <v>278.122329000004</v>
      </c>
      <c r="AF103">
        <f t="shared" si="46"/>
        <v>2.0334759999998</v>
      </c>
      <c r="AG103">
        <f t="shared" si="29"/>
        <v>4608106.2225</v>
      </c>
      <c r="AI103">
        <f t="shared" si="47"/>
        <v>7048912.60036561</v>
      </c>
      <c r="AJ103">
        <f t="shared" si="48"/>
        <v>18144265.6915679</v>
      </c>
      <c r="AK103">
        <f t="shared" si="49"/>
        <v>14723259.6681</v>
      </c>
      <c r="AL103">
        <f t="shared" si="50"/>
        <v>17388216.126724</v>
      </c>
      <c r="AM103">
        <f t="shared" si="51"/>
        <v>17770162.028089</v>
      </c>
      <c r="AN103">
        <f t="shared" si="52"/>
        <v>17971664.49</v>
      </c>
      <c r="AO103">
        <f t="shared" si="53"/>
        <v>18289504.284129</v>
      </c>
      <c r="AP103">
        <f t="shared" si="54"/>
        <v>18444671.415076</v>
      </c>
    </row>
    <row r="104" spans="1:42">
      <c r="A104">
        <v>2</v>
      </c>
      <c r="B104">
        <v>9</v>
      </c>
      <c r="C104">
        <v>90</v>
      </c>
      <c r="D104">
        <v>15</v>
      </c>
      <c r="E104">
        <v>60</v>
      </c>
      <c r="F104">
        <v>2375</v>
      </c>
      <c r="G104">
        <v>4130.24886193185</v>
      </c>
      <c r="H104">
        <v>2396.14270576552</v>
      </c>
      <c r="I104">
        <v>2826.914</v>
      </c>
      <c r="J104">
        <v>2401.092</v>
      </c>
      <c r="K104">
        <v>2389.833</v>
      </c>
      <c r="L104">
        <v>2366</v>
      </c>
      <c r="M104">
        <v>2356.017</v>
      </c>
      <c r="N104">
        <v>2338.377</v>
      </c>
      <c r="P104">
        <f t="shared" si="30"/>
        <v>1755.24886193185</v>
      </c>
      <c r="Q104">
        <f t="shared" si="31"/>
        <v>21.1427057655173</v>
      </c>
      <c r="R104">
        <f t="shared" si="32"/>
        <v>451.914</v>
      </c>
      <c r="S104">
        <f t="shared" si="33"/>
        <v>26.0920000000001</v>
      </c>
      <c r="T104">
        <f t="shared" si="34"/>
        <v>14.8330000000001</v>
      </c>
      <c r="U104">
        <f t="shared" si="35"/>
        <v>9</v>
      </c>
      <c r="V104">
        <f t="shared" si="36"/>
        <v>18.9830000000002</v>
      </c>
      <c r="W104">
        <f t="shared" si="37"/>
        <v>36.623</v>
      </c>
      <c r="X104">
        <f t="shared" si="38"/>
        <v>2083.65</v>
      </c>
      <c r="Y104">
        <f t="shared" si="39"/>
        <v>3080898.56731305</v>
      </c>
      <c r="Z104">
        <f t="shared" si="40"/>
        <v>447.014007087241</v>
      </c>
      <c r="AA104">
        <f t="shared" si="41"/>
        <v>204226.263396</v>
      </c>
      <c r="AB104">
        <f t="shared" si="42"/>
        <v>680.792464000005</v>
      </c>
      <c r="AC104">
        <f t="shared" si="43"/>
        <v>220.017889000002</v>
      </c>
      <c r="AD104">
        <f t="shared" si="44"/>
        <v>81</v>
      </c>
      <c r="AE104">
        <f t="shared" si="45"/>
        <v>360.354289000007</v>
      </c>
      <c r="AF104">
        <f t="shared" si="46"/>
        <v>1341.244129</v>
      </c>
      <c r="AG104">
        <f t="shared" si="29"/>
        <v>4341597.3225</v>
      </c>
      <c r="AI104">
        <f t="shared" si="47"/>
        <v>5817990.69265586</v>
      </c>
      <c r="AJ104">
        <f t="shared" si="48"/>
        <v>17190620.3085338</v>
      </c>
      <c r="AK104">
        <f t="shared" si="49"/>
        <v>13804093.128996</v>
      </c>
      <c r="AL104">
        <f t="shared" si="50"/>
        <v>17149603.699264</v>
      </c>
      <c r="AM104">
        <f t="shared" si="51"/>
        <v>17242982.186089</v>
      </c>
      <c r="AN104">
        <f t="shared" si="52"/>
        <v>17441481.69</v>
      </c>
      <c r="AO104">
        <f t="shared" si="53"/>
        <v>17524965.356089</v>
      </c>
      <c r="AP104">
        <f t="shared" si="54"/>
        <v>17672968.589929</v>
      </c>
    </row>
    <row r="105" spans="1:42">
      <c r="A105">
        <v>2</v>
      </c>
      <c r="B105">
        <v>9</v>
      </c>
      <c r="C105">
        <v>100</v>
      </c>
      <c r="D105">
        <v>15</v>
      </c>
      <c r="E105">
        <v>60</v>
      </c>
      <c r="F105">
        <v>2420</v>
      </c>
      <c r="G105">
        <v>4490.10425054792</v>
      </c>
      <c r="H105">
        <v>2492.00077987311</v>
      </c>
      <c r="I105">
        <v>2944.322</v>
      </c>
      <c r="J105">
        <v>2331.613</v>
      </c>
      <c r="K105">
        <v>2389.833</v>
      </c>
      <c r="L105">
        <v>2366</v>
      </c>
      <c r="M105">
        <v>2414.052</v>
      </c>
      <c r="N105">
        <v>2409.859</v>
      </c>
      <c r="P105">
        <f t="shared" si="30"/>
        <v>2070.10425054792</v>
      </c>
      <c r="Q105">
        <f t="shared" si="31"/>
        <v>72.0007798731144</v>
      </c>
      <c r="R105">
        <f t="shared" si="32"/>
        <v>524.322</v>
      </c>
      <c r="S105">
        <f t="shared" si="33"/>
        <v>88.3870000000002</v>
      </c>
      <c r="T105">
        <f t="shared" si="34"/>
        <v>30.1669999999999</v>
      </c>
      <c r="U105">
        <f t="shared" si="35"/>
        <v>54</v>
      </c>
      <c r="V105">
        <f t="shared" si="36"/>
        <v>5.94799999999987</v>
      </c>
      <c r="W105">
        <f t="shared" si="37"/>
        <v>10.1410000000001</v>
      </c>
      <c r="X105">
        <f t="shared" si="38"/>
        <v>2038.65</v>
      </c>
      <c r="Y105">
        <f t="shared" si="39"/>
        <v>4285331.60813655</v>
      </c>
      <c r="Z105">
        <f t="shared" si="40"/>
        <v>5184.11230233668</v>
      </c>
      <c r="AA105">
        <f t="shared" si="41"/>
        <v>274913.559684</v>
      </c>
      <c r="AB105">
        <f t="shared" si="42"/>
        <v>7812.26176900003</v>
      </c>
      <c r="AC105">
        <f t="shared" si="43"/>
        <v>910.047888999995</v>
      </c>
      <c r="AD105">
        <f t="shared" si="44"/>
        <v>2916</v>
      </c>
      <c r="AE105">
        <f t="shared" si="45"/>
        <v>35.3787039999984</v>
      </c>
      <c r="AF105">
        <f t="shared" si="46"/>
        <v>102.839881000002</v>
      </c>
      <c r="AG105">
        <f t="shared" si="29"/>
        <v>4156093.8225</v>
      </c>
      <c r="AI105">
        <f t="shared" si="47"/>
        <v>4285331.60813655</v>
      </c>
      <c r="AJ105">
        <f t="shared" si="48"/>
        <v>16042421.842749</v>
      </c>
      <c r="AK105">
        <f t="shared" si="49"/>
        <v>12623652.668484</v>
      </c>
      <c r="AL105">
        <f t="shared" si="50"/>
        <v>17352948.181969</v>
      </c>
      <c r="AM105">
        <f t="shared" si="51"/>
        <v>16871285.156089</v>
      </c>
      <c r="AN105">
        <f t="shared" si="52"/>
        <v>17067639.69</v>
      </c>
      <c r="AO105">
        <f t="shared" si="53"/>
        <v>16672914.229504</v>
      </c>
      <c r="AP105">
        <f t="shared" si="54"/>
        <v>16707173.928481</v>
      </c>
    </row>
    <row r="106" spans="1:42">
      <c r="A106">
        <v>2</v>
      </c>
      <c r="B106">
        <v>9</v>
      </c>
      <c r="C106">
        <v>105</v>
      </c>
      <c r="D106">
        <v>15</v>
      </c>
      <c r="E106">
        <v>60</v>
      </c>
      <c r="F106">
        <v>2450</v>
      </c>
      <c r="G106">
        <v>4670.03194485595</v>
      </c>
      <c r="H106">
        <v>2537.68049113481</v>
      </c>
      <c r="I106">
        <v>3003.026</v>
      </c>
      <c r="J106">
        <v>2497.817</v>
      </c>
      <c r="K106">
        <v>2389.833</v>
      </c>
      <c r="L106">
        <v>2366</v>
      </c>
      <c r="M106">
        <v>2452.272</v>
      </c>
      <c r="N106">
        <v>2454.6</v>
      </c>
      <c r="P106">
        <f t="shared" si="30"/>
        <v>2220.03194485595</v>
      </c>
      <c r="Q106">
        <f t="shared" si="31"/>
        <v>87.6804911348067</v>
      </c>
      <c r="R106">
        <f t="shared" si="32"/>
        <v>553.026</v>
      </c>
      <c r="S106">
        <f t="shared" si="33"/>
        <v>47.817</v>
      </c>
      <c r="T106">
        <f t="shared" si="34"/>
        <v>60.1669999999999</v>
      </c>
      <c r="U106">
        <f t="shared" si="35"/>
        <v>84</v>
      </c>
      <c r="V106">
        <f t="shared" si="36"/>
        <v>2.27199999999993</v>
      </c>
      <c r="W106">
        <f t="shared" si="37"/>
        <v>4.59999999999991</v>
      </c>
      <c r="X106">
        <f t="shared" si="38"/>
        <v>2008.65</v>
      </c>
      <c r="Y106">
        <f t="shared" si="39"/>
        <v>4928541.83618089</v>
      </c>
      <c r="Z106">
        <f t="shared" si="40"/>
        <v>7687.86852564092</v>
      </c>
      <c r="AA106">
        <f t="shared" si="41"/>
        <v>305837.756676</v>
      </c>
      <c r="AB106">
        <f t="shared" si="42"/>
        <v>2286.465489</v>
      </c>
      <c r="AC106">
        <f t="shared" si="43"/>
        <v>3620.06788899999</v>
      </c>
      <c r="AD106">
        <f t="shared" si="44"/>
        <v>7056</v>
      </c>
      <c r="AE106">
        <f t="shared" si="45"/>
        <v>5.1619839999997</v>
      </c>
      <c r="AF106">
        <f t="shared" si="46"/>
        <v>21.1599999999992</v>
      </c>
      <c r="AG106">
        <f t="shared" si="29"/>
        <v>4034674.8225</v>
      </c>
      <c r="AI106">
        <f t="shared" si="47"/>
        <v>4928541.83618089</v>
      </c>
      <c r="AJ106">
        <f t="shared" si="48"/>
        <v>15441909.4844539</v>
      </c>
      <c r="AK106">
        <f t="shared" si="49"/>
        <v>12001194.347076</v>
      </c>
      <c r="AL106">
        <f t="shared" si="50"/>
        <v>15756795.287289</v>
      </c>
      <c r="AM106">
        <f t="shared" si="51"/>
        <v>16625737.136089</v>
      </c>
      <c r="AN106">
        <f t="shared" si="52"/>
        <v>16820661.69</v>
      </c>
      <c r="AO106">
        <f t="shared" si="53"/>
        <v>16120449.840784</v>
      </c>
      <c r="AP106">
        <f t="shared" si="54"/>
        <v>16101761.29</v>
      </c>
    </row>
    <row r="107" spans="1:42">
      <c r="A107">
        <v>2</v>
      </c>
      <c r="B107">
        <v>9</v>
      </c>
      <c r="C107">
        <v>110</v>
      </c>
      <c r="D107">
        <v>15</v>
      </c>
      <c r="E107">
        <v>60</v>
      </c>
      <c r="F107">
        <v>2484</v>
      </c>
      <c r="G107">
        <v>4849.95963916398</v>
      </c>
      <c r="H107">
        <v>2582.01435869712</v>
      </c>
      <c r="I107">
        <v>3061.73</v>
      </c>
      <c r="J107">
        <v>2616.204</v>
      </c>
      <c r="K107">
        <v>2389.833</v>
      </c>
      <c r="L107">
        <v>2366</v>
      </c>
      <c r="M107">
        <v>2503.362</v>
      </c>
      <c r="N107">
        <v>2505.796</v>
      </c>
      <c r="P107">
        <f t="shared" si="30"/>
        <v>2365.95963916398</v>
      </c>
      <c r="Q107">
        <f t="shared" si="31"/>
        <v>98.0143586971199</v>
      </c>
      <c r="R107">
        <f t="shared" si="32"/>
        <v>577.73</v>
      </c>
      <c r="S107">
        <f t="shared" si="33"/>
        <v>132.204</v>
      </c>
      <c r="T107">
        <f t="shared" si="34"/>
        <v>94.1669999999999</v>
      </c>
      <c r="U107">
        <f t="shared" si="35"/>
        <v>118</v>
      </c>
      <c r="V107">
        <f t="shared" si="36"/>
        <v>19.3620000000001</v>
      </c>
      <c r="W107">
        <f t="shared" si="37"/>
        <v>21.7959999999998</v>
      </c>
      <c r="X107">
        <f t="shared" si="38"/>
        <v>1974.65</v>
      </c>
      <c r="Y107">
        <f t="shared" si="39"/>
        <v>5597765.01415296</v>
      </c>
      <c r="Z107">
        <f t="shared" si="40"/>
        <v>9606.81451080768</v>
      </c>
      <c r="AA107">
        <f t="shared" si="41"/>
        <v>333771.9529</v>
      </c>
      <c r="AB107">
        <f t="shared" si="42"/>
        <v>17477.897616</v>
      </c>
      <c r="AC107">
        <f t="shared" si="43"/>
        <v>8867.42388899999</v>
      </c>
      <c r="AD107">
        <f t="shared" si="44"/>
        <v>13924</v>
      </c>
      <c r="AE107">
        <f t="shared" si="45"/>
        <v>374.887044000003</v>
      </c>
      <c r="AF107">
        <f t="shared" si="46"/>
        <v>475.065615999992</v>
      </c>
      <c r="AG107">
        <f t="shared" si="29"/>
        <v>3899242.6225</v>
      </c>
      <c r="AI107">
        <f t="shared" si="47"/>
        <v>5597765.01415296</v>
      </c>
      <c r="AJ107">
        <f t="shared" si="48"/>
        <v>14832401.0909057</v>
      </c>
      <c r="AK107">
        <f t="shared" si="49"/>
        <v>11367484.2649</v>
      </c>
      <c r="AL107">
        <f t="shared" si="50"/>
        <v>14570221.873216</v>
      </c>
      <c r="AM107">
        <f t="shared" si="51"/>
        <v>16349625.380089</v>
      </c>
      <c r="AN107">
        <f t="shared" si="52"/>
        <v>16542929.29</v>
      </c>
      <c r="AO107">
        <f t="shared" si="53"/>
        <v>15444412.683844</v>
      </c>
      <c r="AP107">
        <f t="shared" si="54"/>
        <v>15425287.670016</v>
      </c>
    </row>
    <row r="108" spans="1:42">
      <c r="A108">
        <v>2</v>
      </c>
      <c r="B108">
        <v>9</v>
      </c>
      <c r="C108">
        <v>5</v>
      </c>
      <c r="D108">
        <v>45</v>
      </c>
      <c r="E108">
        <v>60</v>
      </c>
      <c r="F108">
        <v>450</v>
      </c>
      <c r="G108">
        <v>-2198.93609747799</v>
      </c>
      <c r="H108">
        <v>413.462438755946</v>
      </c>
      <c r="I108">
        <v>-248.341</v>
      </c>
      <c r="J108">
        <v>521.506</v>
      </c>
      <c r="K108">
        <v>576.333</v>
      </c>
      <c r="L108">
        <v>540.333</v>
      </c>
      <c r="M108">
        <v>486.059</v>
      </c>
      <c r="N108">
        <v>505.925</v>
      </c>
      <c r="P108">
        <f t="shared" si="30"/>
        <v>2648.93609747799</v>
      </c>
      <c r="Q108">
        <f t="shared" si="31"/>
        <v>36.5375612440542</v>
      </c>
      <c r="R108">
        <f t="shared" si="32"/>
        <v>698.341</v>
      </c>
      <c r="S108">
        <f t="shared" si="33"/>
        <v>71.506</v>
      </c>
      <c r="T108">
        <f t="shared" si="34"/>
        <v>126.333</v>
      </c>
      <c r="U108">
        <f t="shared" si="35"/>
        <v>90.333</v>
      </c>
      <c r="V108">
        <f t="shared" si="36"/>
        <v>36.059</v>
      </c>
      <c r="W108">
        <f t="shared" si="37"/>
        <v>55.925</v>
      </c>
      <c r="X108">
        <f t="shared" si="38"/>
        <v>4008.65</v>
      </c>
      <c r="Y108">
        <f t="shared" si="39"/>
        <v>7016862.44852194</v>
      </c>
      <c r="Z108">
        <f t="shared" si="40"/>
        <v>1334.99338166301</v>
      </c>
      <c r="AA108">
        <f t="shared" si="41"/>
        <v>487680.152281</v>
      </c>
      <c r="AB108">
        <f t="shared" si="42"/>
        <v>5113.108036</v>
      </c>
      <c r="AC108">
        <f t="shared" si="43"/>
        <v>15960.026889</v>
      </c>
      <c r="AD108">
        <f t="shared" si="44"/>
        <v>8160.05088899999</v>
      </c>
      <c r="AE108">
        <f t="shared" si="45"/>
        <v>1300.251481</v>
      </c>
      <c r="AF108">
        <f t="shared" si="46"/>
        <v>3127.605625</v>
      </c>
      <c r="AG108">
        <f t="shared" si="29"/>
        <v>16069274.8225</v>
      </c>
      <c r="AI108">
        <f t="shared" si="47"/>
        <v>113768592.487143</v>
      </c>
      <c r="AJ108">
        <f t="shared" si="48"/>
        <v>64864299.4629056</v>
      </c>
      <c r="AK108">
        <f t="shared" si="49"/>
        <v>75962398.040881</v>
      </c>
      <c r="AL108">
        <f t="shared" si="50"/>
        <v>63135642.290436</v>
      </c>
      <c r="AM108">
        <f t="shared" si="51"/>
        <v>62267360.195089</v>
      </c>
      <c r="AN108">
        <f t="shared" si="52"/>
        <v>62836805.819089</v>
      </c>
      <c r="AO108">
        <f t="shared" si="53"/>
        <v>63700207.900081</v>
      </c>
      <c r="AP108">
        <f t="shared" si="54"/>
        <v>63383491.890625</v>
      </c>
    </row>
    <row r="109" spans="1:42">
      <c r="A109">
        <v>2</v>
      </c>
      <c r="B109">
        <v>9</v>
      </c>
      <c r="C109">
        <v>10</v>
      </c>
      <c r="D109">
        <v>45</v>
      </c>
      <c r="E109">
        <v>60</v>
      </c>
      <c r="F109">
        <v>470</v>
      </c>
      <c r="G109">
        <v>-2019.00840316996</v>
      </c>
      <c r="H109">
        <v>535.191739881854</v>
      </c>
      <c r="I109">
        <v>-189.637</v>
      </c>
      <c r="J109">
        <v>554.084</v>
      </c>
      <c r="K109">
        <v>576.333</v>
      </c>
      <c r="L109">
        <v>540.333</v>
      </c>
      <c r="M109">
        <v>458.6</v>
      </c>
      <c r="N109">
        <v>497.837</v>
      </c>
      <c r="P109">
        <f t="shared" si="30"/>
        <v>2489.00840316996</v>
      </c>
      <c r="Q109">
        <f t="shared" si="31"/>
        <v>65.1917398818537</v>
      </c>
      <c r="R109">
        <f t="shared" si="32"/>
        <v>659.637</v>
      </c>
      <c r="S109">
        <f t="shared" si="33"/>
        <v>84.0839999999999</v>
      </c>
      <c r="T109">
        <f t="shared" si="34"/>
        <v>106.333</v>
      </c>
      <c r="U109">
        <f t="shared" si="35"/>
        <v>70.333</v>
      </c>
      <c r="V109">
        <f t="shared" si="36"/>
        <v>11.4</v>
      </c>
      <c r="W109">
        <f t="shared" si="37"/>
        <v>27.837</v>
      </c>
      <c r="X109">
        <f t="shared" si="38"/>
        <v>3988.65</v>
      </c>
      <c r="Y109">
        <f t="shared" si="39"/>
        <v>6195162.83105068</v>
      </c>
      <c r="Z109">
        <f t="shared" si="40"/>
        <v>4249.96294882327</v>
      </c>
      <c r="AA109">
        <f t="shared" si="41"/>
        <v>435120.971769</v>
      </c>
      <c r="AB109">
        <f t="shared" si="42"/>
        <v>7070.11905599999</v>
      </c>
      <c r="AC109">
        <f t="shared" si="43"/>
        <v>11306.706889</v>
      </c>
      <c r="AD109">
        <f t="shared" si="44"/>
        <v>4946.730889</v>
      </c>
      <c r="AE109">
        <f t="shared" si="45"/>
        <v>129.959999999999</v>
      </c>
      <c r="AF109">
        <f t="shared" si="46"/>
        <v>774.898568999999</v>
      </c>
      <c r="AG109">
        <f t="shared" si="29"/>
        <v>15909328.8225</v>
      </c>
      <c r="AI109">
        <f t="shared" si="47"/>
        <v>109543611.590266</v>
      </c>
      <c r="AJ109">
        <f t="shared" si="48"/>
        <v>62601457.1198298</v>
      </c>
      <c r="AK109">
        <f t="shared" si="49"/>
        <v>74596680.741969</v>
      </c>
      <c r="AL109">
        <f t="shared" si="50"/>
        <v>62302858.822656</v>
      </c>
      <c r="AM109">
        <f t="shared" si="51"/>
        <v>61952121.515089</v>
      </c>
      <c r="AN109">
        <f t="shared" si="52"/>
        <v>62520127.139089</v>
      </c>
      <c r="AO109">
        <f t="shared" si="53"/>
        <v>63819327.69</v>
      </c>
      <c r="AP109">
        <f t="shared" si="54"/>
        <v>63193961.988369</v>
      </c>
    </row>
    <row r="110" spans="1:42">
      <c r="A110">
        <v>2</v>
      </c>
      <c r="B110">
        <v>9</v>
      </c>
      <c r="C110">
        <v>25</v>
      </c>
      <c r="D110">
        <v>45</v>
      </c>
      <c r="E110">
        <v>60</v>
      </c>
      <c r="F110">
        <v>522</v>
      </c>
      <c r="G110">
        <v>-1479.22532024586</v>
      </c>
      <c r="H110">
        <v>752.769992823154</v>
      </c>
      <c r="I110">
        <v>-13.525</v>
      </c>
      <c r="J110">
        <v>589.276</v>
      </c>
      <c r="K110">
        <v>576.333</v>
      </c>
      <c r="L110">
        <v>540.333</v>
      </c>
      <c r="M110">
        <v>518.58</v>
      </c>
      <c r="N110">
        <v>515.563</v>
      </c>
      <c r="P110">
        <f t="shared" si="30"/>
        <v>2001.22532024586</v>
      </c>
      <c r="Q110">
        <f t="shared" si="31"/>
        <v>230.769992823154</v>
      </c>
      <c r="R110">
        <f t="shared" si="32"/>
        <v>535.525</v>
      </c>
      <c r="S110">
        <f t="shared" si="33"/>
        <v>67.276</v>
      </c>
      <c r="T110">
        <f t="shared" si="34"/>
        <v>54.333</v>
      </c>
      <c r="U110">
        <f t="shared" si="35"/>
        <v>18.333</v>
      </c>
      <c r="V110">
        <f t="shared" si="36"/>
        <v>3.41999999999996</v>
      </c>
      <c r="W110">
        <f t="shared" si="37"/>
        <v>6.43700000000001</v>
      </c>
      <c r="X110">
        <f t="shared" si="38"/>
        <v>3936.65</v>
      </c>
      <c r="Y110">
        <f t="shared" si="39"/>
        <v>4004902.78239314</v>
      </c>
      <c r="Z110">
        <f t="shared" si="40"/>
        <v>53254.7895875985</v>
      </c>
      <c r="AA110">
        <f t="shared" si="41"/>
        <v>286787.025625</v>
      </c>
      <c r="AB110">
        <f t="shared" si="42"/>
        <v>4526.06017599999</v>
      </c>
      <c r="AC110">
        <f t="shared" si="43"/>
        <v>2952.074889</v>
      </c>
      <c r="AD110">
        <f t="shared" si="44"/>
        <v>336.098888999999</v>
      </c>
      <c r="AE110">
        <f t="shared" si="45"/>
        <v>11.6963999999997</v>
      </c>
      <c r="AF110">
        <f t="shared" si="46"/>
        <v>41.4349690000002</v>
      </c>
      <c r="AG110">
        <f t="shared" si="29"/>
        <v>15497213.2225</v>
      </c>
      <c r="AI110">
        <f t="shared" si="47"/>
        <v>97506250.3001766</v>
      </c>
      <c r="AJ110">
        <f t="shared" si="48"/>
        <v>58408264.9105985</v>
      </c>
      <c r="AK110">
        <f t="shared" si="49"/>
        <v>70708337.880625</v>
      </c>
      <c r="AL110">
        <f t="shared" si="50"/>
        <v>60934010.688576</v>
      </c>
      <c r="AM110">
        <f t="shared" si="51"/>
        <v>61136244.947089</v>
      </c>
      <c r="AN110">
        <f t="shared" si="52"/>
        <v>61700506.571089</v>
      </c>
      <c r="AO110">
        <f t="shared" si="53"/>
        <v>62042717.9584</v>
      </c>
      <c r="AP110">
        <f t="shared" si="54"/>
        <v>62090255.189169</v>
      </c>
    </row>
    <row r="111" spans="1:42">
      <c r="A111">
        <v>2</v>
      </c>
      <c r="B111">
        <v>9</v>
      </c>
      <c r="C111">
        <v>35</v>
      </c>
      <c r="D111">
        <v>45</v>
      </c>
      <c r="E111">
        <v>60</v>
      </c>
      <c r="F111">
        <v>590</v>
      </c>
      <c r="G111">
        <v>-1119.36993162979</v>
      </c>
      <c r="H111">
        <v>853.229189693849</v>
      </c>
      <c r="I111">
        <v>103.883</v>
      </c>
      <c r="J111">
        <v>627.029</v>
      </c>
      <c r="K111">
        <v>576.333</v>
      </c>
      <c r="L111">
        <v>540.333</v>
      </c>
      <c r="M111">
        <v>583.244</v>
      </c>
      <c r="N111">
        <v>549.66</v>
      </c>
      <c r="P111">
        <f t="shared" si="30"/>
        <v>1709.36993162979</v>
      </c>
      <c r="Q111">
        <f t="shared" si="31"/>
        <v>263.229189693849</v>
      </c>
      <c r="R111">
        <f t="shared" si="32"/>
        <v>486.117</v>
      </c>
      <c r="S111">
        <f t="shared" si="33"/>
        <v>37.029</v>
      </c>
      <c r="T111">
        <f t="shared" si="34"/>
        <v>13.667</v>
      </c>
      <c r="U111">
        <f t="shared" si="35"/>
        <v>49.667</v>
      </c>
      <c r="V111">
        <f t="shared" si="36"/>
        <v>6.75599999999997</v>
      </c>
      <c r="W111">
        <f t="shared" si="37"/>
        <v>40.34</v>
      </c>
      <c r="X111">
        <f t="shared" si="38"/>
        <v>3868.65</v>
      </c>
      <c r="Y111">
        <f t="shared" si="39"/>
        <v>2921945.56316004</v>
      </c>
      <c r="Z111">
        <f t="shared" si="40"/>
        <v>69289.6063068802</v>
      </c>
      <c r="AA111">
        <f t="shared" si="41"/>
        <v>236309.737689</v>
      </c>
      <c r="AB111">
        <f t="shared" si="42"/>
        <v>1371.146841</v>
      </c>
      <c r="AC111">
        <f t="shared" si="43"/>
        <v>186.786889000001</v>
      </c>
      <c r="AD111">
        <f t="shared" si="44"/>
        <v>2466.810889</v>
      </c>
      <c r="AE111">
        <f t="shared" si="45"/>
        <v>45.6435359999996</v>
      </c>
      <c r="AF111">
        <f t="shared" si="46"/>
        <v>1627.3156</v>
      </c>
      <c r="AG111">
        <f t="shared" si="29"/>
        <v>14966452.8225</v>
      </c>
      <c r="AI111">
        <f t="shared" si="47"/>
        <v>89239572.7971584</v>
      </c>
      <c r="AJ111">
        <f t="shared" si="48"/>
        <v>55861734.4774704</v>
      </c>
      <c r="AK111">
        <f t="shared" si="49"/>
        <v>67624587.155889</v>
      </c>
      <c r="AL111">
        <f t="shared" si="50"/>
        <v>59294173.473441</v>
      </c>
      <c r="AM111">
        <f t="shared" si="51"/>
        <v>60077489.435089</v>
      </c>
      <c r="AN111">
        <f t="shared" si="52"/>
        <v>60636855.059089</v>
      </c>
      <c r="AO111">
        <f t="shared" si="53"/>
        <v>59970403.331136</v>
      </c>
      <c r="AP111">
        <f t="shared" si="54"/>
        <v>60491683.9696</v>
      </c>
    </row>
    <row r="112" spans="1:42">
      <c r="A112">
        <v>2</v>
      </c>
      <c r="B112">
        <v>9</v>
      </c>
      <c r="C112">
        <v>40</v>
      </c>
      <c r="D112">
        <v>45</v>
      </c>
      <c r="E112">
        <v>60</v>
      </c>
      <c r="F112">
        <v>598</v>
      </c>
      <c r="G112">
        <v>-939.442237321758</v>
      </c>
      <c r="H112">
        <v>896.718401405081</v>
      </c>
      <c r="I112">
        <v>162.587</v>
      </c>
      <c r="J112">
        <v>733.911</v>
      </c>
      <c r="K112">
        <v>576.333</v>
      </c>
      <c r="L112">
        <v>540.333</v>
      </c>
      <c r="M112">
        <v>605.209</v>
      </c>
      <c r="N112">
        <v>569.751</v>
      </c>
      <c r="P112">
        <f t="shared" si="30"/>
        <v>1537.44223732176</v>
      </c>
      <c r="Q112">
        <f t="shared" si="31"/>
        <v>298.718401405081</v>
      </c>
      <c r="R112">
        <f t="shared" si="32"/>
        <v>435.413</v>
      </c>
      <c r="S112">
        <f t="shared" si="33"/>
        <v>135.911</v>
      </c>
      <c r="T112">
        <f t="shared" si="34"/>
        <v>21.667</v>
      </c>
      <c r="U112">
        <f t="shared" si="35"/>
        <v>57.667</v>
      </c>
      <c r="V112">
        <f t="shared" si="36"/>
        <v>7.20899999999995</v>
      </c>
      <c r="W112">
        <f t="shared" si="37"/>
        <v>28.249</v>
      </c>
      <c r="X112">
        <f t="shared" si="38"/>
        <v>3860.65</v>
      </c>
      <c r="Y112">
        <f t="shared" si="39"/>
        <v>2363728.63310093</v>
      </c>
      <c r="Z112">
        <f t="shared" si="40"/>
        <v>89232.6833380069</v>
      </c>
      <c r="AA112">
        <f t="shared" si="41"/>
        <v>189584.480569</v>
      </c>
      <c r="AB112">
        <f t="shared" si="42"/>
        <v>18471.799921</v>
      </c>
      <c r="AC112">
        <f t="shared" si="43"/>
        <v>469.458889000001</v>
      </c>
      <c r="AD112">
        <f t="shared" si="44"/>
        <v>3325.482889</v>
      </c>
      <c r="AE112">
        <f t="shared" si="45"/>
        <v>51.9696809999992</v>
      </c>
      <c r="AF112">
        <f t="shared" si="46"/>
        <v>798.006001000001</v>
      </c>
      <c r="AG112">
        <f t="shared" si="29"/>
        <v>14904618.4225</v>
      </c>
      <c r="AI112">
        <f t="shared" si="47"/>
        <v>85724307.8171659</v>
      </c>
      <c r="AJ112">
        <f t="shared" si="48"/>
        <v>55094717.5877999</v>
      </c>
      <c r="AK112">
        <f t="shared" si="49"/>
        <v>66531966.964369</v>
      </c>
      <c r="AL112">
        <f t="shared" si="50"/>
        <v>57538126.281321</v>
      </c>
      <c r="AM112">
        <f t="shared" si="51"/>
        <v>59953537.963089</v>
      </c>
      <c r="AN112">
        <f t="shared" si="52"/>
        <v>60512327.587089</v>
      </c>
      <c r="AO112">
        <f t="shared" si="53"/>
        <v>59507199.956281</v>
      </c>
      <c r="AP112">
        <f t="shared" si="54"/>
        <v>60055509.703401</v>
      </c>
    </row>
    <row r="113" spans="1:42">
      <c r="A113">
        <v>2</v>
      </c>
      <c r="B113">
        <v>9</v>
      </c>
      <c r="C113">
        <v>45</v>
      </c>
      <c r="D113">
        <v>45</v>
      </c>
      <c r="E113">
        <v>60</v>
      </c>
      <c r="F113">
        <v>612</v>
      </c>
      <c r="G113">
        <v>-759.514543013724</v>
      </c>
      <c r="H113">
        <v>936.914897178009</v>
      </c>
      <c r="I113">
        <v>221.291</v>
      </c>
      <c r="J113">
        <v>737.842</v>
      </c>
      <c r="K113">
        <v>576.333</v>
      </c>
      <c r="L113">
        <v>540.333</v>
      </c>
      <c r="M113">
        <v>619.308</v>
      </c>
      <c r="N113">
        <v>590.494</v>
      </c>
      <c r="P113">
        <f t="shared" si="30"/>
        <v>1371.51454301372</v>
      </c>
      <c r="Q113">
        <f t="shared" si="31"/>
        <v>324.914897178009</v>
      </c>
      <c r="R113">
        <f t="shared" si="32"/>
        <v>390.709</v>
      </c>
      <c r="S113">
        <f t="shared" si="33"/>
        <v>125.842</v>
      </c>
      <c r="T113">
        <f t="shared" si="34"/>
        <v>35.667</v>
      </c>
      <c r="U113">
        <f t="shared" si="35"/>
        <v>71.667</v>
      </c>
      <c r="V113">
        <f t="shared" si="36"/>
        <v>7.30799999999999</v>
      </c>
      <c r="W113">
        <f t="shared" si="37"/>
        <v>21.506</v>
      </c>
      <c r="X113">
        <f t="shared" si="38"/>
        <v>3846.65</v>
      </c>
      <c r="Y113">
        <f t="shared" si="39"/>
        <v>1881052.14169814</v>
      </c>
      <c r="Z113">
        <f t="shared" si="40"/>
        <v>105569.690408196</v>
      </c>
      <c r="AA113">
        <f t="shared" si="41"/>
        <v>152653.522681</v>
      </c>
      <c r="AB113">
        <f t="shared" si="42"/>
        <v>15836.208964</v>
      </c>
      <c r="AC113">
        <f t="shared" si="43"/>
        <v>1272.134889</v>
      </c>
      <c r="AD113">
        <f t="shared" si="44"/>
        <v>5136.158889</v>
      </c>
      <c r="AE113">
        <f t="shared" si="45"/>
        <v>53.4068639999999</v>
      </c>
      <c r="AF113">
        <f t="shared" si="46"/>
        <v>462.508035999999</v>
      </c>
      <c r="AG113">
        <f t="shared" si="29"/>
        <v>14796716.2225</v>
      </c>
      <c r="AI113">
        <f t="shared" si="47"/>
        <v>82170862.6992331</v>
      </c>
      <c r="AJ113">
        <f t="shared" si="48"/>
        <v>54293099.023489</v>
      </c>
      <c r="AK113">
        <f t="shared" si="49"/>
        <v>65351201.512081</v>
      </c>
      <c r="AL113">
        <f t="shared" si="50"/>
        <v>57266420.581764</v>
      </c>
      <c r="AM113">
        <f t="shared" si="51"/>
        <v>59736930.887089</v>
      </c>
      <c r="AN113">
        <f t="shared" si="52"/>
        <v>60294712.511089</v>
      </c>
      <c r="AO113">
        <f t="shared" si="53"/>
        <v>59074473.024064</v>
      </c>
      <c r="AP113">
        <f t="shared" si="54"/>
        <v>59518231.617636</v>
      </c>
    </row>
    <row r="114" spans="1:42">
      <c r="A114">
        <v>2</v>
      </c>
      <c r="B114">
        <v>9</v>
      </c>
      <c r="C114">
        <v>55</v>
      </c>
      <c r="D114">
        <v>45</v>
      </c>
      <c r="E114">
        <v>60</v>
      </c>
      <c r="F114">
        <v>642</v>
      </c>
      <c r="G114">
        <v>-399.659154397656</v>
      </c>
      <c r="H114">
        <v>1009.59250530865</v>
      </c>
      <c r="I114">
        <v>338.699</v>
      </c>
      <c r="J114">
        <v>748.119</v>
      </c>
      <c r="K114">
        <v>576.333</v>
      </c>
      <c r="L114">
        <v>718.5</v>
      </c>
      <c r="M114">
        <v>633.349</v>
      </c>
      <c r="N114">
        <v>630.851</v>
      </c>
      <c r="P114">
        <f t="shared" si="30"/>
        <v>1041.65915439766</v>
      </c>
      <c r="Q114">
        <f t="shared" si="31"/>
        <v>367.59250530865</v>
      </c>
      <c r="R114">
        <f t="shared" si="32"/>
        <v>303.301</v>
      </c>
      <c r="S114">
        <f t="shared" si="33"/>
        <v>106.119</v>
      </c>
      <c r="T114">
        <f t="shared" si="34"/>
        <v>65.667</v>
      </c>
      <c r="U114">
        <f t="shared" si="35"/>
        <v>76.5</v>
      </c>
      <c r="V114">
        <f t="shared" si="36"/>
        <v>8.65099999999995</v>
      </c>
      <c r="W114">
        <f t="shared" si="37"/>
        <v>11.149</v>
      </c>
      <c r="X114">
        <f t="shared" si="38"/>
        <v>3816.65</v>
      </c>
      <c r="Y114">
        <f t="shared" si="39"/>
        <v>1085053.79394044</v>
      </c>
      <c r="Z114">
        <f t="shared" si="40"/>
        <v>135124.24995909</v>
      </c>
      <c r="AA114">
        <f t="shared" si="41"/>
        <v>91991.496601</v>
      </c>
      <c r="AB114">
        <f t="shared" si="42"/>
        <v>11261.242161</v>
      </c>
      <c r="AC114">
        <f t="shared" si="43"/>
        <v>4312.154889</v>
      </c>
      <c r="AD114">
        <f t="shared" si="44"/>
        <v>5852.25</v>
      </c>
      <c r="AE114">
        <f t="shared" si="45"/>
        <v>74.8398009999992</v>
      </c>
      <c r="AF114">
        <f t="shared" si="46"/>
        <v>124.300201</v>
      </c>
      <c r="AG114">
        <f t="shared" si="29"/>
        <v>14566817.2225</v>
      </c>
      <c r="AI114">
        <f t="shared" si="47"/>
        <v>75254916.3304677</v>
      </c>
      <c r="AJ114">
        <f t="shared" si="48"/>
        <v>52790505.398414</v>
      </c>
      <c r="AK114">
        <f t="shared" si="49"/>
        <v>62989635.433201</v>
      </c>
      <c r="AL114">
        <f t="shared" si="50"/>
        <v>56658453.806761</v>
      </c>
      <c r="AM114">
        <f t="shared" si="51"/>
        <v>59274092.867089</v>
      </c>
      <c r="AN114">
        <f t="shared" si="52"/>
        <v>57105226.24</v>
      </c>
      <c r="AO114">
        <f t="shared" si="53"/>
        <v>58399415.086401</v>
      </c>
      <c r="AP114">
        <f t="shared" si="54"/>
        <v>58437600.513601</v>
      </c>
    </row>
    <row r="115" spans="1:42">
      <c r="A115">
        <v>2</v>
      </c>
      <c r="B115">
        <v>9</v>
      </c>
      <c r="C115">
        <v>65</v>
      </c>
      <c r="D115">
        <v>45</v>
      </c>
      <c r="E115">
        <v>60</v>
      </c>
      <c r="F115">
        <v>649</v>
      </c>
      <c r="G115">
        <v>-39.8037657815876</v>
      </c>
      <c r="H115">
        <v>1074.37699535645</v>
      </c>
      <c r="I115">
        <v>456.107</v>
      </c>
      <c r="J115">
        <v>684.599</v>
      </c>
      <c r="K115">
        <v>576.333</v>
      </c>
      <c r="L115">
        <v>718.5</v>
      </c>
      <c r="M115">
        <v>651.831</v>
      </c>
      <c r="N115">
        <v>666.683</v>
      </c>
      <c r="P115">
        <f t="shared" si="30"/>
        <v>688.803765781588</v>
      </c>
      <c r="Q115">
        <f t="shared" si="31"/>
        <v>425.37699535645</v>
      </c>
      <c r="R115">
        <f t="shared" si="32"/>
        <v>192.893</v>
      </c>
      <c r="S115">
        <f t="shared" si="33"/>
        <v>35.599</v>
      </c>
      <c r="T115">
        <f t="shared" si="34"/>
        <v>72.667</v>
      </c>
      <c r="U115">
        <f t="shared" si="35"/>
        <v>69.5</v>
      </c>
      <c r="V115">
        <f t="shared" si="36"/>
        <v>2.83100000000002</v>
      </c>
      <c r="W115">
        <f t="shared" si="37"/>
        <v>17.683</v>
      </c>
      <c r="X115">
        <f t="shared" si="38"/>
        <v>3809.65</v>
      </c>
      <c r="Y115">
        <f t="shared" si="39"/>
        <v>474450.627754896</v>
      </c>
      <c r="Z115">
        <f t="shared" si="40"/>
        <v>180945.588178481</v>
      </c>
      <c r="AA115">
        <f t="shared" si="41"/>
        <v>37207.709449</v>
      </c>
      <c r="AB115">
        <f t="shared" si="42"/>
        <v>1267.288801</v>
      </c>
      <c r="AC115">
        <f t="shared" si="43"/>
        <v>5280.492889</v>
      </c>
      <c r="AD115">
        <f t="shared" si="44"/>
        <v>4830.25</v>
      </c>
      <c r="AE115">
        <f t="shared" si="45"/>
        <v>8.0145610000001</v>
      </c>
      <c r="AF115">
        <f t="shared" si="46"/>
        <v>312.688489</v>
      </c>
      <c r="AG115">
        <f t="shared" si="29"/>
        <v>14513433.1225</v>
      </c>
      <c r="AI115">
        <f t="shared" si="47"/>
        <v>69024588.1829942</v>
      </c>
      <c r="AJ115">
        <f t="shared" si="48"/>
        <v>51752528.1967397</v>
      </c>
      <c r="AK115">
        <f t="shared" si="49"/>
        <v>61030359.469249</v>
      </c>
      <c r="AL115">
        <f t="shared" si="50"/>
        <v>57512520.857401</v>
      </c>
      <c r="AM115">
        <f t="shared" si="51"/>
        <v>59166356.329089</v>
      </c>
      <c r="AN115">
        <f t="shared" si="52"/>
        <v>56999480.04</v>
      </c>
      <c r="AO115">
        <f t="shared" si="53"/>
        <v>58010600.027961</v>
      </c>
      <c r="AP115">
        <f t="shared" si="54"/>
        <v>57784581.014689</v>
      </c>
    </row>
    <row r="116" spans="1:42">
      <c r="A116">
        <v>2</v>
      </c>
      <c r="B116">
        <v>9</v>
      </c>
      <c r="C116">
        <v>70</v>
      </c>
      <c r="D116">
        <v>45</v>
      </c>
      <c r="E116">
        <v>60</v>
      </c>
      <c r="F116">
        <v>654</v>
      </c>
      <c r="G116">
        <v>140.123928526446</v>
      </c>
      <c r="H116">
        <v>1104.43216057112</v>
      </c>
      <c r="I116">
        <v>514.811</v>
      </c>
      <c r="J116">
        <v>724.568</v>
      </c>
      <c r="K116">
        <v>576.333</v>
      </c>
      <c r="L116">
        <v>718.5</v>
      </c>
      <c r="M116">
        <v>669.445</v>
      </c>
      <c r="N116">
        <v>682.636</v>
      </c>
      <c r="P116">
        <f t="shared" si="30"/>
        <v>513.876071473554</v>
      </c>
      <c r="Q116">
        <f t="shared" si="31"/>
        <v>450.432160571123</v>
      </c>
      <c r="R116">
        <f t="shared" si="32"/>
        <v>139.189</v>
      </c>
      <c r="S116">
        <f t="shared" si="33"/>
        <v>70.568</v>
      </c>
      <c r="T116">
        <f t="shared" si="34"/>
        <v>77.667</v>
      </c>
      <c r="U116">
        <f t="shared" si="35"/>
        <v>64.5</v>
      </c>
      <c r="V116">
        <f t="shared" si="36"/>
        <v>15.445</v>
      </c>
      <c r="W116">
        <f t="shared" si="37"/>
        <v>28.636</v>
      </c>
      <c r="X116">
        <f t="shared" si="38"/>
        <v>3804.65</v>
      </c>
      <c r="Y116">
        <f t="shared" si="39"/>
        <v>264068.616833094</v>
      </c>
      <c r="Z116">
        <f t="shared" si="40"/>
        <v>202889.13127677</v>
      </c>
      <c r="AA116">
        <f t="shared" si="41"/>
        <v>19373.577721</v>
      </c>
      <c r="AB116">
        <f t="shared" si="42"/>
        <v>4979.842624</v>
      </c>
      <c r="AC116">
        <f t="shared" si="43"/>
        <v>6032.162889</v>
      </c>
      <c r="AD116">
        <f t="shared" si="44"/>
        <v>4160.25</v>
      </c>
      <c r="AE116">
        <f t="shared" si="45"/>
        <v>238.548025000002</v>
      </c>
      <c r="AF116">
        <f t="shared" si="46"/>
        <v>820.020495999998</v>
      </c>
      <c r="AG116">
        <f t="shared" si="29"/>
        <v>14475361.6225</v>
      </c>
      <c r="AI116">
        <f t="shared" si="47"/>
        <v>65985989.4881605</v>
      </c>
      <c r="AJ116">
        <f t="shared" si="48"/>
        <v>51249388.7424091</v>
      </c>
      <c r="AK116">
        <f t="shared" si="49"/>
        <v>60039081.783121</v>
      </c>
      <c r="AL116">
        <f t="shared" si="50"/>
        <v>56832480.167824</v>
      </c>
      <c r="AM116">
        <f t="shared" si="51"/>
        <v>59089461.659089</v>
      </c>
      <c r="AN116">
        <f t="shared" si="52"/>
        <v>56924007.04</v>
      </c>
      <c r="AO116">
        <f t="shared" si="53"/>
        <v>57666633.761025</v>
      </c>
      <c r="AP116">
        <f t="shared" si="54"/>
        <v>57466466.680896</v>
      </c>
    </row>
    <row r="117" spans="1:42">
      <c r="A117">
        <v>2</v>
      </c>
      <c r="B117">
        <v>9</v>
      </c>
      <c r="C117">
        <v>80</v>
      </c>
      <c r="D117">
        <v>45</v>
      </c>
      <c r="E117">
        <v>60</v>
      </c>
      <c r="F117">
        <v>710</v>
      </c>
      <c r="G117">
        <v>499.979317142514</v>
      </c>
      <c r="H117">
        <v>1160.72522301195</v>
      </c>
      <c r="I117">
        <v>632.219</v>
      </c>
      <c r="J117">
        <v>785.144</v>
      </c>
      <c r="K117">
        <v>760.6</v>
      </c>
      <c r="L117">
        <v>718.5</v>
      </c>
      <c r="M117">
        <v>716.583</v>
      </c>
      <c r="N117">
        <v>712.068</v>
      </c>
      <c r="P117">
        <f t="shared" si="30"/>
        <v>210.020682857486</v>
      </c>
      <c r="Q117">
        <f t="shared" si="31"/>
        <v>450.725223011949</v>
      </c>
      <c r="R117">
        <f t="shared" si="32"/>
        <v>77.7809999999999</v>
      </c>
      <c r="S117">
        <f t="shared" si="33"/>
        <v>75.144</v>
      </c>
      <c r="T117">
        <f t="shared" si="34"/>
        <v>50.6</v>
      </c>
      <c r="U117">
        <f t="shared" si="35"/>
        <v>8.5</v>
      </c>
      <c r="V117">
        <f t="shared" si="36"/>
        <v>6.58299999999997</v>
      </c>
      <c r="W117">
        <f t="shared" si="37"/>
        <v>2.06799999999998</v>
      </c>
      <c r="X117">
        <f t="shared" si="38"/>
        <v>3748.65</v>
      </c>
      <c r="Y117">
        <f t="shared" si="39"/>
        <v>44108.6872279249</v>
      </c>
      <c r="Z117">
        <f t="shared" si="40"/>
        <v>203153.226659171</v>
      </c>
      <c r="AA117">
        <f t="shared" si="41"/>
        <v>6049.88396099999</v>
      </c>
      <c r="AB117">
        <f t="shared" si="42"/>
        <v>5646.620736</v>
      </c>
      <c r="AC117">
        <f t="shared" si="43"/>
        <v>2560.36</v>
      </c>
      <c r="AD117">
        <f t="shared" si="44"/>
        <v>72.25</v>
      </c>
      <c r="AE117">
        <f t="shared" si="45"/>
        <v>43.3358889999996</v>
      </c>
      <c r="AF117">
        <f t="shared" si="46"/>
        <v>4.27662399999993</v>
      </c>
      <c r="AG117">
        <f t="shared" si="29"/>
        <v>14052376.8225</v>
      </c>
      <c r="AI117">
        <f t="shared" si="47"/>
        <v>59402792.1084028</v>
      </c>
      <c r="AJ117">
        <f t="shared" si="48"/>
        <v>49654216.0876842</v>
      </c>
      <c r="AK117">
        <f t="shared" si="49"/>
        <v>57381852.156561</v>
      </c>
      <c r="AL117">
        <f t="shared" si="50"/>
        <v>55088399.688336</v>
      </c>
      <c r="AM117">
        <f t="shared" si="51"/>
        <v>55453340.89</v>
      </c>
      <c r="AN117">
        <f t="shared" si="52"/>
        <v>56082125.44</v>
      </c>
      <c r="AO117">
        <f t="shared" si="53"/>
        <v>56110841.174089</v>
      </c>
      <c r="AP117">
        <f t="shared" si="54"/>
        <v>56178502.733824</v>
      </c>
    </row>
    <row r="118" spans="1:42">
      <c r="A118">
        <v>2</v>
      </c>
      <c r="B118">
        <v>9</v>
      </c>
      <c r="C118">
        <v>90</v>
      </c>
      <c r="D118">
        <v>45</v>
      </c>
      <c r="E118">
        <v>60</v>
      </c>
      <c r="F118">
        <v>756</v>
      </c>
      <c r="G118">
        <v>859.834705758581</v>
      </c>
      <c r="H118">
        <v>1212.75614648494</v>
      </c>
      <c r="I118">
        <v>749.627</v>
      </c>
      <c r="J118">
        <v>804.936</v>
      </c>
      <c r="K118">
        <v>760.6</v>
      </c>
      <c r="L118">
        <v>718.5</v>
      </c>
      <c r="M118">
        <v>751.856</v>
      </c>
      <c r="N118">
        <v>742.447</v>
      </c>
      <c r="P118">
        <f t="shared" si="30"/>
        <v>103.834705758581</v>
      </c>
      <c r="Q118">
        <f t="shared" si="31"/>
        <v>456.756146484941</v>
      </c>
      <c r="R118">
        <f t="shared" si="32"/>
        <v>6.37300000000005</v>
      </c>
      <c r="S118">
        <f t="shared" si="33"/>
        <v>48.936</v>
      </c>
      <c r="T118">
        <f t="shared" si="34"/>
        <v>4.60000000000002</v>
      </c>
      <c r="U118">
        <f t="shared" si="35"/>
        <v>37.5</v>
      </c>
      <c r="V118">
        <f t="shared" si="36"/>
        <v>4.14400000000001</v>
      </c>
      <c r="W118">
        <f t="shared" si="37"/>
        <v>13.553</v>
      </c>
      <c r="X118">
        <f t="shared" si="38"/>
        <v>3702.65</v>
      </c>
      <c r="Y118">
        <f t="shared" si="39"/>
        <v>10781.646119971</v>
      </c>
      <c r="Z118">
        <f t="shared" si="40"/>
        <v>208626.177351773</v>
      </c>
      <c r="AA118">
        <f t="shared" si="41"/>
        <v>40.6151290000006</v>
      </c>
      <c r="AB118">
        <f t="shared" si="42"/>
        <v>2394.732096</v>
      </c>
      <c r="AC118">
        <f t="shared" si="43"/>
        <v>21.1600000000002</v>
      </c>
      <c r="AD118">
        <f t="shared" si="44"/>
        <v>1406.25</v>
      </c>
      <c r="AE118">
        <f t="shared" si="45"/>
        <v>17.172736</v>
      </c>
      <c r="AF118">
        <f t="shared" si="46"/>
        <v>183.683809</v>
      </c>
      <c r="AG118">
        <f t="shared" si="29"/>
        <v>13709617.0225</v>
      </c>
      <c r="AI118">
        <f t="shared" si="47"/>
        <v>53311395.4430119</v>
      </c>
      <c r="AJ118">
        <f t="shared" si="48"/>
        <v>48282261.6842219</v>
      </c>
      <c r="AK118">
        <f t="shared" si="49"/>
        <v>54932896.658929</v>
      </c>
      <c r="AL118">
        <f t="shared" si="50"/>
        <v>54116091.300496</v>
      </c>
      <c r="AM118">
        <f t="shared" si="51"/>
        <v>54770360.49</v>
      </c>
      <c r="AN118">
        <f t="shared" si="52"/>
        <v>55395271.84</v>
      </c>
      <c r="AO118">
        <f t="shared" si="53"/>
        <v>54899860.389136</v>
      </c>
      <c r="AP118">
        <f t="shared" si="54"/>
        <v>55039379.835609</v>
      </c>
    </row>
    <row r="119" spans="1:42">
      <c r="A119">
        <v>2</v>
      </c>
      <c r="B119">
        <v>9</v>
      </c>
      <c r="C119">
        <v>95</v>
      </c>
      <c r="D119">
        <v>45</v>
      </c>
      <c r="E119">
        <v>60</v>
      </c>
      <c r="F119">
        <v>776</v>
      </c>
      <c r="G119">
        <v>1039.76240006661</v>
      </c>
      <c r="H119">
        <v>1237.41531395399</v>
      </c>
      <c r="I119">
        <v>808.331</v>
      </c>
      <c r="J119">
        <v>761.595</v>
      </c>
      <c r="K119">
        <v>760.6</v>
      </c>
      <c r="L119">
        <v>718.5</v>
      </c>
      <c r="M119">
        <v>759.666</v>
      </c>
      <c r="N119">
        <v>760.148</v>
      </c>
      <c r="P119">
        <f t="shared" si="30"/>
        <v>263.762400066615</v>
      </c>
      <c r="Q119">
        <f t="shared" si="31"/>
        <v>461.415313953995</v>
      </c>
      <c r="R119">
        <f t="shared" si="32"/>
        <v>32.331</v>
      </c>
      <c r="S119">
        <f t="shared" si="33"/>
        <v>14.405</v>
      </c>
      <c r="T119">
        <f t="shared" si="34"/>
        <v>15.4</v>
      </c>
      <c r="U119">
        <f t="shared" si="35"/>
        <v>57.5</v>
      </c>
      <c r="V119">
        <f t="shared" si="36"/>
        <v>16.3339999999999</v>
      </c>
      <c r="W119">
        <f t="shared" si="37"/>
        <v>15.852</v>
      </c>
      <c r="X119">
        <f t="shared" si="38"/>
        <v>3682.65</v>
      </c>
      <c r="Y119">
        <f t="shared" si="39"/>
        <v>69570.6036889009</v>
      </c>
      <c r="Z119">
        <f t="shared" si="40"/>
        <v>212904.091951263</v>
      </c>
      <c r="AA119">
        <f t="shared" si="41"/>
        <v>1045.293561</v>
      </c>
      <c r="AB119">
        <f t="shared" si="42"/>
        <v>207.504024999999</v>
      </c>
      <c r="AC119">
        <f t="shared" si="43"/>
        <v>237.159999999999</v>
      </c>
      <c r="AD119">
        <f t="shared" si="44"/>
        <v>3306.25</v>
      </c>
      <c r="AE119">
        <f t="shared" si="45"/>
        <v>266.799555999998</v>
      </c>
      <c r="AF119">
        <f t="shared" si="46"/>
        <v>251.285903999999</v>
      </c>
      <c r="AG119">
        <f t="shared" si="29"/>
        <v>13561911.0225</v>
      </c>
      <c r="AI119">
        <f t="shared" si="47"/>
        <v>50431836.2832676</v>
      </c>
      <c r="AJ119">
        <f t="shared" si="48"/>
        <v>47663623.7582205</v>
      </c>
      <c r="AK119">
        <f t="shared" si="49"/>
        <v>53772434.354961</v>
      </c>
      <c r="AL119">
        <f t="shared" si="50"/>
        <v>54460045.887025</v>
      </c>
      <c r="AM119">
        <f t="shared" si="51"/>
        <v>54474732.49</v>
      </c>
      <c r="AN119">
        <f t="shared" si="52"/>
        <v>55097959.84</v>
      </c>
      <c r="AO119">
        <f t="shared" si="53"/>
        <v>54488520.509956</v>
      </c>
      <c r="AP119">
        <f t="shared" si="54"/>
        <v>54481404.847104</v>
      </c>
    </row>
    <row r="120" spans="1:42">
      <c r="A120">
        <v>2</v>
      </c>
      <c r="B120">
        <v>9</v>
      </c>
      <c r="C120">
        <v>100</v>
      </c>
      <c r="D120">
        <v>45</v>
      </c>
      <c r="E120">
        <v>60</v>
      </c>
      <c r="F120">
        <v>778</v>
      </c>
      <c r="G120">
        <v>1219.69009437465</v>
      </c>
      <c r="H120">
        <v>1261.27265106727</v>
      </c>
      <c r="I120">
        <v>867.035</v>
      </c>
      <c r="J120">
        <v>859.326</v>
      </c>
      <c r="K120">
        <v>760.6</v>
      </c>
      <c r="L120">
        <v>718.5</v>
      </c>
      <c r="M120">
        <v>767.207</v>
      </c>
      <c r="N120">
        <v>780.866</v>
      </c>
      <c r="P120">
        <f t="shared" si="30"/>
        <v>441.690094374649</v>
      </c>
      <c r="Q120">
        <f t="shared" si="31"/>
        <v>483.272651067275</v>
      </c>
      <c r="R120">
        <f t="shared" si="32"/>
        <v>89.035</v>
      </c>
      <c r="S120">
        <f t="shared" si="33"/>
        <v>81.326</v>
      </c>
      <c r="T120">
        <f t="shared" si="34"/>
        <v>17.4</v>
      </c>
      <c r="U120">
        <f t="shared" si="35"/>
        <v>59.5</v>
      </c>
      <c r="V120">
        <f t="shared" si="36"/>
        <v>10.793</v>
      </c>
      <c r="W120">
        <f t="shared" si="37"/>
        <v>2.86599999999999</v>
      </c>
      <c r="X120">
        <f t="shared" si="38"/>
        <v>3680.65</v>
      </c>
      <c r="Y120">
        <f t="shared" si="39"/>
        <v>195090.139468686</v>
      </c>
      <c r="Z120">
        <f t="shared" si="40"/>
        <v>233552.455269592</v>
      </c>
      <c r="AA120">
        <f t="shared" si="41"/>
        <v>7927.23122499999</v>
      </c>
      <c r="AB120">
        <f t="shared" si="42"/>
        <v>6613.918276</v>
      </c>
      <c r="AC120">
        <f t="shared" si="43"/>
        <v>302.759999999999</v>
      </c>
      <c r="AD120">
        <f t="shared" si="44"/>
        <v>3540.25</v>
      </c>
      <c r="AE120">
        <f t="shared" si="45"/>
        <v>116.488849</v>
      </c>
      <c r="AF120">
        <f t="shared" si="46"/>
        <v>8.21395599999992</v>
      </c>
      <c r="AG120">
        <f t="shared" si="29"/>
        <v>13547184.4225</v>
      </c>
      <c r="AI120">
        <f t="shared" si="47"/>
        <v>47881001.2460285</v>
      </c>
      <c r="AJ120">
        <f t="shared" si="48"/>
        <v>47307260.2126665</v>
      </c>
      <c r="AK120">
        <f t="shared" si="49"/>
        <v>52885838.230225</v>
      </c>
      <c r="AL120">
        <f t="shared" si="50"/>
        <v>52998021.440676</v>
      </c>
      <c r="AM120">
        <f t="shared" si="51"/>
        <v>54445213.69</v>
      </c>
      <c r="AN120">
        <f t="shared" si="52"/>
        <v>55068272.64</v>
      </c>
      <c r="AO120">
        <f t="shared" si="53"/>
        <v>54347755.200649</v>
      </c>
      <c r="AP120">
        <f t="shared" si="54"/>
        <v>54146550.932356</v>
      </c>
    </row>
    <row r="121" spans="1:42">
      <c r="A121">
        <v>2</v>
      </c>
      <c r="B121">
        <v>9</v>
      </c>
      <c r="C121">
        <v>110</v>
      </c>
      <c r="D121">
        <v>45</v>
      </c>
      <c r="E121">
        <v>60</v>
      </c>
      <c r="F121">
        <v>783</v>
      </c>
      <c r="G121">
        <v>1579.54548299072</v>
      </c>
      <c r="H121">
        <v>1306.8310899379</v>
      </c>
      <c r="I121">
        <v>984.443</v>
      </c>
      <c r="J121">
        <v>1069.075</v>
      </c>
      <c r="K121">
        <v>760.6</v>
      </c>
      <c r="L121">
        <v>718.5</v>
      </c>
      <c r="M121">
        <v>827.617</v>
      </c>
      <c r="N121">
        <v>835.561</v>
      </c>
      <c r="P121">
        <f t="shared" si="30"/>
        <v>796.545482990716</v>
      </c>
      <c r="Q121">
        <f t="shared" si="31"/>
        <v>523.831089937902</v>
      </c>
      <c r="R121">
        <f t="shared" si="32"/>
        <v>201.443</v>
      </c>
      <c r="S121">
        <f t="shared" si="33"/>
        <v>286.075</v>
      </c>
      <c r="T121">
        <f t="shared" si="34"/>
        <v>22.4</v>
      </c>
      <c r="U121">
        <f t="shared" si="35"/>
        <v>64.5</v>
      </c>
      <c r="V121">
        <f t="shared" si="36"/>
        <v>44.617</v>
      </c>
      <c r="W121">
        <f t="shared" si="37"/>
        <v>52.561</v>
      </c>
      <c r="X121">
        <f t="shared" si="38"/>
        <v>3675.65</v>
      </c>
      <c r="Y121">
        <f t="shared" si="39"/>
        <v>634484.706472913</v>
      </c>
      <c r="Z121">
        <f t="shared" si="40"/>
        <v>274399.010785531</v>
      </c>
      <c r="AA121">
        <f t="shared" si="41"/>
        <v>40579.282249</v>
      </c>
      <c r="AB121">
        <f t="shared" si="42"/>
        <v>81838.905625</v>
      </c>
      <c r="AC121">
        <f t="shared" si="43"/>
        <v>501.759999999999</v>
      </c>
      <c r="AD121">
        <f t="shared" si="44"/>
        <v>4160.25</v>
      </c>
      <c r="AE121">
        <f t="shared" si="45"/>
        <v>1990.676689</v>
      </c>
      <c r="AF121">
        <f t="shared" si="46"/>
        <v>2762.658721</v>
      </c>
      <c r="AG121">
        <f t="shared" si="29"/>
        <v>13510402.9225</v>
      </c>
      <c r="AI121">
        <f t="shared" si="47"/>
        <v>42964806.7782536</v>
      </c>
      <c r="AJ121">
        <f t="shared" si="48"/>
        <v>46614331.7178645</v>
      </c>
      <c r="AK121">
        <f t="shared" si="49"/>
        <v>51120455.120449</v>
      </c>
      <c r="AL121">
        <f t="shared" si="50"/>
        <v>49917404.300625</v>
      </c>
      <c r="AM121">
        <f t="shared" si="51"/>
        <v>54371451.69</v>
      </c>
      <c r="AN121">
        <f t="shared" si="52"/>
        <v>54994089.64</v>
      </c>
      <c r="AO121">
        <f t="shared" si="53"/>
        <v>53387616.462489</v>
      </c>
      <c r="AP121">
        <f t="shared" si="54"/>
        <v>53271590.990121</v>
      </c>
    </row>
    <row r="122" spans="6:42">
      <c r="F122" t="s">
        <v>30</v>
      </c>
      <c r="G122">
        <f>CORREL($F2:$F121,G2:G121)</f>
        <v>0.936278202229557</v>
      </c>
      <c r="H122">
        <f t="shared" ref="H122:N122" si="55">CORREL($F2:$F121,H2:H121)</f>
        <v>0.97301924550202</v>
      </c>
      <c r="I122">
        <f t="shared" si="55"/>
        <v>0.987145564153381</v>
      </c>
      <c r="J122">
        <f t="shared" si="55"/>
        <v>0.999314453496824</v>
      </c>
      <c r="K122">
        <f t="shared" si="55"/>
        <v>0.999868903155097</v>
      </c>
      <c r="L122">
        <f t="shared" si="55"/>
        <v>0.996378749554745</v>
      </c>
      <c r="M122">
        <f t="shared" si="55"/>
        <v>0.999022466284242</v>
      </c>
      <c r="N122">
        <f t="shared" si="55"/>
        <v>0.997181112410987</v>
      </c>
      <c r="P122">
        <f>SUM(P2:P121)</f>
        <v>100374.237903493</v>
      </c>
      <c r="Q122">
        <f t="shared" ref="Q122:Y122" si="56">SUM(Q2:Q121)</f>
        <v>67214.1814721564</v>
      </c>
      <c r="R122">
        <f t="shared" si="56"/>
        <v>47579.354</v>
      </c>
      <c r="S122">
        <f t="shared" si="56"/>
        <v>12540.949</v>
      </c>
      <c r="T122">
        <f t="shared" si="56"/>
        <v>4294.89</v>
      </c>
      <c r="U122">
        <f t="shared" si="56"/>
        <v>22007.165</v>
      </c>
      <c r="V122">
        <f t="shared" si="56"/>
        <v>9670.432</v>
      </c>
      <c r="W122">
        <f t="shared" si="56"/>
        <v>18869.479</v>
      </c>
      <c r="X122">
        <f t="shared" si="56"/>
        <v>319946.5</v>
      </c>
      <c r="Y122">
        <f t="shared" si="56"/>
        <v>141077550.947125</v>
      </c>
      <c r="Z122">
        <f t="shared" ref="Z122:AP122" si="57">SUM(Z2:Z121)</f>
        <v>61836893.0156503</v>
      </c>
      <c r="AA122">
        <f t="shared" si="57"/>
        <v>29810111.077892</v>
      </c>
      <c r="AB122">
        <f t="shared" si="57"/>
        <v>2198107.073325</v>
      </c>
      <c r="AC122">
        <f t="shared" si="57"/>
        <v>299775.338894</v>
      </c>
      <c r="AD122">
        <f t="shared" si="57"/>
        <v>8266156.731203</v>
      </c>
      <c r="AE122">
        <f t="shared" si="57"/>
        <v>2238695.492896</v>
      </c>
      <c r="AF122">
        <f t="shared" si="57"/>
        <v>6446369.302227</v>
      </c>
      <c r="AG122">
        <f t="shared" si="57"/>
        <v>1143410393.3</v>
      </c>
      <c r="AH122">
        <f t="shared" si="57"/>
        <v>0</v>
      </c>
      <c r="AI122">
        <f t="shared" si="57"/>
        <v>4157368967.24677</v>
      </c>
      <c r="AJ122">
        <f t="shared" si="57"/>
        <v>4283699161.03859</v>
      </c>
      <c r="AK122">
        <f t="shared" si="57"/>
        <v>4385873900.98569</v>
      </c>
      <c r="AL122">
        <f t="shared" si="57"/>
        <v>4472375941.10772</v>
      </c>
      <c r="AM122">
        <f t="shared" si="57"/>
        <v>4572742309.38129</v>
      </c>
      <c r="AN122">
        <f t="shared" si="57"/>
        <v>4549468181.8666</v>
      </c>
      <c r="AO122">
        <f t="shared" si="57"/>
        <v>4558222916.0011</v>
      </c>
      <c r="AP122">
        <f t="shared" si="57"/>
        <v>4542039886.22143</v>
      </c>
    </row>
    <row r="123" spans="6:33">
      <c r="F123" t="s">
        <v>31</v>
      </c>
      <c r="G123">
        <v>0.876616871970211</v>
      </c>
      <c r="H123">
        <v>0.945918898955271</v>
      </c>
      <c r="I123">
        <v>0.973928773734637</v>
      </c>
      <c r="J123">
        <v>0.998077586939733</v>
      </c>
      <c r="K123">
        <v>0.999737823496576</v>
      </c>
      <c r="L123">
        <v>0.992770612564273</v>
      </c>
      <c r="M123">
        <v>0.998042089256828</v>
      </c>
      <c r="N123">
        <v>0.994362156107728</v>
      </c>
      <c r="P123">
        <f>1-(P122/$X122)</f>
        <v>0.686278056164099</v>
      </c>
      <c r="Q123">
        <f t="shared" ref="Q123:X123" si="58">1-(Q122/$X122)</f>
        <v>0.789920560243177</v>
      </c>
      <c r="R123">
        <f t="shared" si="58"/>
        <v>0.851289656239403</v>
      </c>
      <c r="S123">
        <f t="shared" si="58"/>
        <v>0.960802981123407</v>
      </c>
      <c r="T123">
        <f t="shared" si="58"/>
        <v>0.986576224462527</v>
      </c>
      <c r="U123">
        <f t="shared" si="58"/>
        <v>0.931216109568319</v>
      </c>
      <c r="V123">
        <f t="shared" si="58"/>
        <v>0.969774846732188</v>
      </c>
      <c r="W123">
        <f t="shared" si="58"/>
        <v>0.941023017910807</v>
      </c>
      <c r="X123">
        <f t="shared" si="58"/>
        <v>0</v>
      </c>
      <c r="Y123">
        <f>1-(Y122/AI122)</f>
        <v>0.966065665073612</v>
      </c>
      <c r="Z123">
        <f t="shared" ref="Z123:AG123" si="59">1-(Z122/AJ122)</f>
        <v>0.985564604167801</v>
      </c>
      <c r="AA123">
        <f t="shared" si="59"/>
        <v>0.993203153635769</v>
      </c>
      <c r="AB123">
        <f t="shared" si="59"/>
        <v>0.999508514690565</v>
      </c>
      <c r="AC123">
        <f t="shared" si="59"/>
        <v>0.999934442984404</v>
      </c>
      <c r="AD123">
        <f t="shared" si="59"/>
        <v>0.998183049886105</v>
      </c>
      <c r="AE123">
        <f t="shared" si="59"/>
        <v>0.99950886660566</v>
      </c>
      <c r="AF123">
        <f t="shared" si="59"/>
        <v>0.998580732564286</v>
      </c>
      <c r="AG123" t="e">
        <f t="shared" si="59"/>
        <v>#DIV/0!</v>
      </c>
    </row>
    <row r="124" spans="6:14">
      <c r="F124" t="s">
        <v>32</v>
      </c>
      <c r="G124">
        <v>1084.27222499366</v>
      </c>
      <c r="H124">
        <v>717.849177611207</v>
      </c>
      <c r="I124">
        <v>498.415080345455</v>
      </c>
      <c r="J124">
        <v>135.342376750133</v>
      </c>
      <c r="K124">
        <v>49.9812747348111</v>
      </c>
      <c r="L124">
        <v>262.458833775302</v>
      </c>
      <c r="M124">
        <v>136.58622102589</v>
      </c>
      <c r="N124">
        <v>231.775201834072</v>
      </c>
    </row>
    <row r="125" spans="6:14">
      <c r="F125" t="s">
        <v>33</v>
      </c>
      <c r="G125">
        <f>G124/$F130</f>
        <v>0.243183973847165</v>
      </c>
      <c r="H125">
        <f t="shared" ref="H125:N125" si="60">H124/$F130</f>
        <v>0.161001464033106</v>
      </c>
      <c r="I125">
        <f t="shared" si="60"/>
        <v>0.111786096765939</v>
      </c>
      <c r="J125">
        <f t="shared" si="60"/>
        <v>0.0303550125598854</v>
      </c>
      <c r="K125">
        <f t="shared" si="60"/>
        <v>0.0112099569903022</v>
      </c>
      <c r="L125">
        <f t="shared" si="60"/>
        <v>0.0588650900553536</v>
      </c>
      <c r="M125">
        <f t="shared" si="60"/>
        <v>0.0306339858535409</v>
      </c>
      <c r="N125">
        <f t="shared" si="60"/>
        <v>0.0519832688894783</v>
      </c>
    </row>
    <row r="126" spans="6:14">
      <c r="F126" t="s">
        <v>34</v>
      </c>
      <c r="G126">
        <v>836.451982529111</v>
      </c>
      <c r="H126">
        <v>560.118178934637</v>
      </c>
      <c r="I126">
        <v>396.494616666667</v>
      </c>
      <c r="J126">
        <v>104.507908333333</v>
      </c>
      <c r="K126">
        <v>35.79075</v>
      </c>
      <c r="L126">
        <v>183.393041666667</v>
      </c>
      <c r="M126">
        <v>80.5869333333333</v>
      </c>
      <c r="N126">
        <v>157.245658333333</v>
      </c>
    </row>
    <row r="127" spans="6:14">
      <c r="F127" t="s">
        <v>35</v>
      </c>
      <c r="G127">
        <v>0.686278056164099</v>
      </c>
      <c r="H127">
        <v>0.789920560243177</v>
      </c>
      <c r="I127">
        <v>0.851289656239403</v>
      </c>
      <c r="J127">
        <v>0.960802981123407</v>
      </c>
      <c r="K127">
        <v>0.986576224462527</v>
      </c>
      <c r="L127">
        <v>0.931216109568319</v>
      </c>
      <c r="M127">
        <v>0.969774846732188</v>
      </c>
      <c r="N127">
        <v>0.941023017910807</v>
      </c>
    </row>
    <row r="128" spans="6:32">
      <c r="F128" t="s">
        <v>36</v>
      </c>
      <c r="G128">
        <v>0.966065665073612</v>
      </c>
      <c r="H128">
        <v>0.985564604167801</v>
      </c>
      <c r="I128">
        <v>0.993203153635769</v>
      </c>
      <c r="J128">
        <v>0.999508514690565</v>
      </c>
      <c r="K128">
        <v>0.999934442984404</v>
      </c>
      <c r="L128">
        <v>0.998183049886105</v>
      </c>
      <c r="M128">
        <v>0.99950886660566</v>
      </c>
      <c r="N128">
        <v>0.998580732564286</v>
      </c>
      <c r="Y128">
        <f t="shared" ref="Y128:AF128" si="61">1-(Y122/$AG122)</f>
        <v>0.876616871970211</v>
      </c>
      <c r="Z128">
        <f t="shared" si="61"/>
        <v>0.945918898955271</v>
      </c>
      <c r="AA128">
        <f t="shared" si="61"/>
        <v>0.973928773734637</v>
      </c>
      <c r="AB128">
        <f t="shared" si="61"/>
        <v>0.998077586939733</v>
      </c>
      <c r="AC128">
        <f t="shared" si="61"/>
        <v>0.999737823496576</v>
      </c>
      <c r="AD128">
        <f t="shared" si="61"/>
        <v>0.992770612564273</v>
      </c>
      <c r="AE128">
        <f t="shared" si="61"/>
        <v>0.998042089256828</v>
      </c>
      <c r="AF128">
        <f t="shared" si="61"/>
        <v>0.994362156107728</v>
      </c>
    </row>
    <row r="129" spans="16:23">
      <c r="P129">
        <f>AVERAGE(P2:P123)</f>
        <v>1645.4849351233</v>
      </c>
      <c r="Q129">
        <f t="shared" ref="Q129:W129" si="62">AVERAGE(Q2:Q121)</f>
        <v>560.118178934637</v>
      </c>
      <c r="R129">
        <f t="shared" si="62"/>
        <v>396.494616666667</v>
      </c>
      <c r="S129">
        <f t="shared" si="62"/>
        <v>104.507908333333</v>
      </c>
      <c r="T129">
        <f t="shared" si="62"/>
        <v>35.79075</v>
      </c>
      <c r="U129">
        <f t="shared" si="62"/>
        <v>183.393041666667</v>
      </c>
      <c r="V129">
        <f t="shared" si="62"/>
        <v>80.5869333333333</v>
      </c>
      <c r="W129">
        <f t="shared" si="62"/>
        <v>157.245658333333</v>
      </c>
    </row>
    <row r="130" spans="6:32">
      <c r="F130">
        <f>AVERAGE(F2:F121)</f>
        <v>4458.65</v>
      </c>
      <c r="Y130">
        <f>AVERAGE(Y2:Y128)</f>
        <v>2293943.93282059</v>
      </c>
      <c r="Z130">
        <f t="shared" ref="Z130:AF130" si="63">AVERAGE(Z2:Z121)</f>
        <v>515307.441797086</v>
      </c>
      <c r="AA130">
        <f t="shared" si="63"/>
        <v>248417.592315767</v>
      </c>
      <c r="AB130">
        <f t="shared" si="63"/>
        <v>18317.558944375</v>
      </c>
      <c r="AC130">
        <f t="shared" si="63"/>
        <v>2498.12782411667</v>
      </c>
      <c r="AD130">
        <f t="shared" si="63"/>
        <v>68884.6394266917</v>
      </c>
      <c r="AE130">
        <f t="shared" si="63"/>
        <v>18655.7957741333</v>
      </c>
      <c r="AF130">
        <f t="shared" si="63"/>
        <v>53719.744185225</v>
      </c>
    </row>
    <row r="131" spans="25:32">
      <c r="Y131">
        <f>Y130^0.5</f>
        <v>1514.57714653978</v>
      </c>
      <c r="Z131">
        <f t="shared" ref="Z131:AF131" si="64">Z130^0.5</f>
        <v>717.849177611207</v>
      </c>
      <c r="AA131">
        <f t="shared" si="64"/>
        <v>498.415080345455</v>
      </c>
      <c r="AB131">
        <f t="shared" si="64"/>
        <v>135.342376750133</v>
      </c>
      <c r="AC131">
        <f t="shared" si="64"/>
        <v>49.9812747348111</v>
      </c>
      <c r="AD131">
        <f t="shared" si="64"/>
        <v>262.458833775302</v>
      </c>
      <c r="AE131">
        <f t="shared" si="64"/>
        <v>136.58622102589</v>
      </c>
      <c r="AF131">
        <f t="shared" si="64"/>
        <v>231.775201834072</v>
      </c>
    </row>
    <row r="133" spans="1:9">
      <c r="A133" t="s">
        <v>30</v>
      </c>
      <c r="B133">
        <v>0.936278202229557</v>
      </c>
      <c r="C133">
        <v>0.97301924550202</v>
      </c>
      <c r="D133">
        <v>0.987145564153381</v>
      </c>
      <c r="E133">
        <v>0.999314453496824</v>
      </c>
      <c r="F133">
        <v>0.999868903155097</v>
      </c>
      <c r="G133">
        <v>0.996378749554745</v>
      </c>
      <c r="H133">
        <v>0.999022466284242</v>
      </c>
      <c r="I133">
        <v>0.997181112410987</v>
      </c>
    </row>
    <row r="134" spans="1:9">
      <c r="A134" t="s">
        <v>31</v>
      </c>
      <c r="B134">
        <v>0.876616871970211</v>
      </c>
      <c r="C134">
        <v>0.945918898955271</v>
      </c>
      <c r="D134">
        <v>0.973928773734637</v>
      </c>
      <c r="E134">
        <v>0.998077586939733</v>
      </c>
      <c r="F134">
        <v>0.999737823496576</v>
      </c>
      <c r="G134">
        <v>0.992770612564273</v>
      </c>
      <c r="H134">
        <v>0.998042089256828</v>
      </c>
      <c r="I134">
        <v>0.994362156107728</v>
      </c>
    </row>
    <row r="135" spans="1:9">
      <c r="A135" t="s">
        <v>32</v>
      </c>
      <c r="B135">
        <v>1084.27222499366</v>
      </c>
      <c r="C135">
        <v>717.849177611207</v>
      </c>
      <c r="D135">
        <v>498.415080345455</v>
      </c>
      <c r="E135">
        <v>135.342376750133</v>
      </c>
      <c r="F135">
        <v>49.9812747348111</v>
      </c>
      <c r="G135">
        <v>262.458833775302</v>
      </c>
      <c r="H135">
        <v>136.58622102589</v>
      </c>
      <c r="I135">
        <v>231.775201834072</v>
      </c>
    </row>
    <row r="136" spans="1:9">
      <c r="A136" t="s">
        <v>33</v>
      </c>
      <c r="B136">
        <v>0.243183973847165</v>
      </c>
      <c r="C136">
        <v>0.161001464033106</v>
      </c>
      <c r="D136">
        <v>0.111786096765939</v>
      </c>
      <c r="E136">
        <v>0.0303550125598854</v>
      </c>
      <c r="F136">
        <v>0.0112099569903022</v>
      </c>
      <c r="G136">
        <v>0.0588650900553536</v>
      </c>
      <c r="H136">
        <v>0.0306339858535409</v>
      </c>
      <c r="I136">
        <v>0.0519832688894783</v>
      </c>
    </row>
    <row r="137" spans="1:9">
      <c r="A137" t="s">
        <v>34</v>
      </c>
      <c r="B137">
        <v>836.451982529111</v>
      </c>
      <c r="C137">
        <v>560.118178934637</v>
      </c>
      <c r="D137">
        <v>396.494616666667</v>
      </c>
      <c r="E137">
        <v>104.507908333333</v>
      </c>
      <c r="F137">
        <v>35.79075</v>
      </c>
      <c r="G137">
        <v>183.393041666667</v>
      </c>
      <c r="H137">
        <v>80.5869333333333</v>
      </c>
      <c r="I137">
        <v>157.245658333333</v>
      </c>
    </row>
    <row r="138" spans="1:9">
      <c r="A138" t="s">
        <v>35</v>
      </c>
      <c r="B138">
        <v>0.686278056164099</v>
      </c>
      <c r="C138">
        <v>0.789920560243177</v>
      </c>
      <c r="D138">
        <v>0.851289656239403</v>
      </c>
      <c r="E138">
        <v>0.960802981123407</v>
      </c>
      <c r="F138">
        <v>0.986576224462527</v>
      </c>
      <c r="G138">
        <v>0.931216109568319</v>
      </c>
      <c r="H138">
        <v>0.969774846732188</v>
      </c>
      <c r="I138">
        <v>0.941023017910807</v>
      </c>
    </row>
    <row r="139" spans="1:9">
      <c r="A139" t="s">
        <v>36</v>
      </c>
      <c r="B139">
        <v>0.966065665073612</v>
      </c>
      <c r="C139">
        <v>0.985564604167801</v>
      </c>
      <c r="D139">
        <v>0.993203153635769</v>
      </c>
      <c r="E139">
        <v>0.999508514690565</v>
      </c>
      <c r="F139">
        <v>0.999934442984404</v>
      </c>
      <c r="G139">
        <v>0.998183049886105</v>
      </c>
      <c r="H139">
        <v>0.99950886660566</v>
      </c>
      <c r="I139">
        <v>0.998580732564286</v>
      </c>
    </row>
    <row r="141" spans="21:28">
      <c r="U141" s="53" t="s">
        <v>37</v>
      </c>
      <c r="V141" s="39" t="s">
        <v>30</v>
      </c>
      <c r="W141" s="39" t="s">
        <v>31</v>
      </c>
      <c r="X141" s="39" t="s">
        <v>32</v>
      </c>
      <c r="Y141" s="39" t="s">
        <v>33</v>
      </c>
      <c r="Z141" s="39" t="s">
        <v>34</v>
      </c>
      <c r="AA141" s="39" t="s">
        <v>35</v>
      </c>
      <c r="AB141" s="39" t="s">
        <v>36</v>
      </c>
    </row>
    <row r="142" spans="21:28">
      <c r="U142" s="54"/>
      <c r="V142" s="41" t="s">
        <v>38</v>
      </c>
      <c r="W142" s="46"/>
      <c r="X142" s="46"/>
      <c r="Y142" s="46"/>
      <c r="Z142" s="46"/>
      <c r="AA142" s="46"/>
      <c r="AB142" s="47"/>
    </row>
    <row r="143" spans="15:28">
      <c r="O143">
        <v>0</v>
      </c>
      <c r="U143" s="39" t="s">
        <v>6</v>
      </c>
      <c r="V143" s="55">
        <v>0.936278202229557</v>
      </c>
      <c r="W143" s="55">
        <v>0.876616871970211</v>
      </c>
      <c r="X143" s="55">
        <v>1084.27222499366</v>
      </c>
      <c r="Y143" s="55">
        <v>0.243183973847165</v>
      </c>
      <c r="Z143" s="55">
        <v>836.451982529111</v>
      </c>
      <c r="AA143" s="55">
        <v>0.686278056164099</v>
      </c>
      <c r="AB143" s="55">
        <v>0.966065665073612</v>
      </c>
    </row>
    <row r="144" spans="15:28">
      <c r="O144">
        <v>12000</v>
      </c>
      <c r="U144" s="39" t="s">
        <v>7</v>
      </c>
      <c r="V144" s="55">
        <v>0.97301924550202</v>
      </c>
      <c r="W144" s="55">
        <v>0.945918898955271</v>
      </c>
      <c r="X144" s="55">
        <v>717.849177611207</v>
      </c>
      <c r="Y144" s="55">
        <v>0.161001464033106</v>
      </c>
      <c r="Z144" s="55">
        <v>560.118178934637</v>
      </c>
      <c r="AA144" s="55">
        <v>0.789920560243177</v>
      </c>
      <c r="AB144" s="55">
        <v>0.985564604167801</v>
      </c>
    </row>
    <row r="145" spans="21:28">
      <c r="U145" s="39" t="s">
        <v>8</v>
      </c>
      <c r="V145" s="55">
        <v>0.987145564153381</v>
      </c>
      <c r="W145" s="55">
        <v>0.973928773734637</v>
      </c>
      <c r="X145" s="55">
        <v>498.415080345455</v>
      </c>
      <c r="Y145" s="55">
        <v>0.111786096765939</v>
      </c>
      <c r="Z145" s="55">
        <v>396.494616666667</v>
      </c>
      <c r="AA145" s="55">
        <v>0.851289656239403</v>
      </c>
      <c r="AB145" s="55">
        <v>0.993203153635769</v>
      </c>
    </row>
    <row r="146" spans="21:28">
      <c r="U146" s="39" t="s">
        <v>9</v>
      </c>
      <c r="V146" s="55">
        <v>0.999314453496824</v>
      </c>
      <c r="W146" s="55">
        <v>0.998077586939733</v>
      </c>
      <c r="X146" s="55">
        <v>135.342376750133</v>
      </c>
      <c r="Y146" s="55">
        <v>0.0303550125598854</v>
      </c>
      <c r="Z146" s="55">
        <v>104.507908333333</v>
      </c>
      <c r="AA146" s="55">
        <v>0.960802981123407</v>
      </c>
      <c r="AB146" s="55">
        <v>0.999508514690565</v>
      </c>
    </row>
    <row r="147" spans="21:28">
      <c r="U147" s="39" t="s">
        <v>10</v>
      </c>
      <c r="V147" s="55">
        <v>0.999868903155097</v>
      </c>
      <c r="W147" s="55">
        <v>0.999737823496576</v>
      </c>
      <c r="X147" s="55">
        <v>49.9812747348111</v>
      </c>
      <c r="Y147" s="55">
        <v>0.0112099569903022</v>
      </c>
      <c r="Z147" s="55">
        <v>35.79075</v>
      </c>
      <c r="AA147" s="55">
        <v>0.986576224462527</v>
      </c>
      <c r="AB147" s="55">
        <v>0.999934442984404</v>
      </c>
    </row>
    <row r="148" spans="21:28">
      <c r="U148" s="39" t="s">
        <v>11</v>
      </c>
      <c r="V148" s="55">
        <v>0.996378749554745</v>
      </c>
      <c r="W148" s="55">
        <v>0.992770612564273</v>
      </c>
      <c r="X148" s="55">
        <v>262.458833775302</v>
      </c>
      <c r="Y148" s="55">
        <v>0.0588650900553536</v>
      </c>
      <c r="Z148" s="55">
        <v>183.393041666667</v>
      </c>
      <c r="AA148" s="55">
        <v>0.931216109568319</v>
      </c>
      <c r="AB148" s="55">
        <v>0.998183049886105</v>
      </c>
    </row>
    <row r="149" spans="21:28">
      <c r="U149" s="39" t="s">
        <v>12</v>
      </c>
      <c r="V149" s="55">
        <v>0.999022466284242</v>
      </c>
      <c r="W149" s="55">
        <v>0.998042089256828</v>
      </c>
      <c r="X149" s="55">
        <v>136.58622102589</v>
      </c>
      <c r="Y149" s="55">
        <v>0.0306339858535409</v>
      </c>
      <c r="Z149" s="55">
        <v>80.5869333333333</v>
      </c>
      <c r="AA149" s="55">
        <v>0.969774846732188</v>
      </c>
      <c r="AB149" s="55">
        <v>0.99950886660566</v>
      </c>
    </row>
    <row r="150" spans="21:28">
      <c r="U150" s="39" t="s">
        <v>13</v>
      </c>
      <c r="V150" s="55">
        <v>0.997181112410987</v>
      </c>
      <c r="W150" s="55">
        <v>0.994362156107728</v>
      </c>
      <c r="X150" s="55">
        <v>231.775201834072</v>
      </c>
      <c r="Y150" s="55">
        <v>0.0519832688894783</v>
      </c>
      <c r="Z150" s="55">
        <v>157.245658333333</v>
      </c>
      <c r="AA150" s="55">
        <v>0.941023017910807</v>
      </c>
      <c r="AB150" s="55">
        <v>0.998580732564286</v>
      </c>
    </row>
    <row r="151" spans="21:28">
      <c r="U151" s="39"/>
      <c r="V151" s="56" t="s">
        <v>39</v>
      </c>
      <c r="W151" s="56"/>
      <c r="X151" s="56"/>
      <c r="Y151" s="56"/>
      <c r="Z151" s="56"/>
      <c r="AA151" s="56"/>
      <c r="AB151" s="56"/>
    </row>
    <row r="152" spans="21:28">
      <c r="U152" s="39" t="s">
        <v>6</v>
      </c>
      <c r="V152" s="55">
        <v>0.923167596045021</v>
      </c>
      <c r="W152" s="55">
        <v>0.851139354052106</v>
      </c>
      <c r="X152" s="55">
        <v>1211.83432743122</v>
      </c>
      <c r="Y152" s="55">
        <v>0.284727146742923</v>
      </c>
      <c r="Z152" s="55">
        <v>986.855590178571</v>
      </c>
      <c r="AA152" s="55">
        <v>0.640633541420782</v>
      </c>
      <c r="AB152" s="55">
        <v>0.959575370382035</v>
      </c>
    </row>
    <row r="153" spans="21:28">
      <c r="U153" s="39" t="s">
        <v>7</v>
      </c>
      <c r="V153" s="55">
        <v>0.973381962656689</v>
      </c>
      <c r="W153" s="55">
        <v>0.946689167627038</v>
      </c>
      <c r="X153" s="55">
        <v>725.205405678951</v>
      </c>
      <c r="Y153" s="55">
        <v>0.170391002538448</v>
      </c>
      <c r="Z153" s="55">
        <v>565.608765876392</v>
      </c>
      <c r="AA153" s="55">
        <v>0.794031851106421</v>
      </c>
      <c r="AB153" s="55">
        <v>0.985732806493624</v>
      </c>
    </row>
    <row r="154" spans="21:28">
      <c r="U154" s="39" t="s">
        <v>8</v>
      </c>
      <c r="V154" s="55">
        <v>0.981417299455434</v>
      </c>
      <c r="W154" s="55">
        <v>0.962599412536633</v>
      </c>
      <c r="X154" s="55">
        <v>607.424790906631</v>
      </c>
      <c r="Y154" s="55">
        <v>0.142717798679933</v>
      </c>
      <c r="Z154" s="55">
        <v>460.920321428572</v>
      </c>
      <c r="AA154" s="55">
        <v>0.8321544659143</v>
      </c>
      <c r="AB154" s="55">
        <v>0.990209748308821</v>
      </c>
    </row>
    <row r="155" spans="21:28">
      <c r="U155" s="39" t="s">
        <v>9</v>
      </c>
      <c r="V155" s="55">
        <v>0.996328783032118</v>
      </c>
      <c r="W155" s="55">
        <v>0.990723637348785</v>
      </c>
      <c r="X155" s="55">
        <v>302.511688917759</v>
      </c>
      <c r="Y155" s="55">
        <v>0.0710767867291865</v>
      </c>
      <c r="Z155" s="55">
        <v>220.516410714286</v>
      </c>
      <c r="AA155" s="55">
        <v>0.919698279702045</v>
      </c>
      <c r="AB155" s="55">
        <v>0.997586841060534</v>
      </c>
    </row>
    <row r="156" spans="21:28">
      <c r="U156" s="39" t="s">
        <v>10</v>
      </c>
      <c r="V156" s="55">
        <v>0.977015504808038</v>
      </c>
      <c r="W156" s="55">
        <v>0.949256917187769</v>
      </c>
      <c r="X156" s="55">
        <v>707.52489439335</v>
      </c>
      <c r="Y156" s="55">
        <v>0.166236869075356</v>
      </c>
      <c r="Z156" s="55">
        <v>283.476428571429</v>
      </c>
      <c r="AA156" s="55">
        <v>0.896771198096</v>
      </c>
      <c r="AB156" s="55">
        <v>0.987411426680898</v>
      </c>
    </row>
    <row r="157" spans="21:28">
      <c r="U157" s="39" t="s">
        <v>11</v>
      </c>
      <c r="V157" s="55">
        <v>0.988294338973003</v>
      </c>
      <c r="W157" s="55">
        <v>0.976602113925236</v>
      </c>
      <c r="X157" s="55">
        <v>480.442714373365</v>
      </c>
      <c r="Y157" s="55">
        <v>0.112882660723866</v>
      </c>
      <c r="Z157" s="55">
        <v>297.017767857143</v>
      </c>
      <c r="AA157" s="55">
        <v>0.891840078292903</v>
      </c>
      <c r="AB157" s="55">
        <v>0.994059929958531</v>
      </c>
    </row>
    <row r="158" spans="21:28">
      <c r="U158" s="39" t="s">
        <v>12</v>
      </c>
      <c r="V158" s="55">
        <v>0.997942943550503</v>
      </c>
      <c r="W158" s="55">
        <v>0.995690983779786</v>
      </c>
      <c r="X158" s="55">
        <v>206.17802035455</v>
      </c>
      <c r="Y158" s="55">
        <v>0.0484426609544011</v>
      </c>
      <c r="Z158" s="55">
        <v>127.364607142857</v>
      </c>
      <c r="AA158" s="55">
        <v>0.953619791717469</v>
      </c>
      <c r="AB158" s="55">
        <v>0.998934492779549</v>
      </c>
    </row>
    <row r="159" spans="21:28">
      <c r="U159" s="39" t="s">
        <v>13</v>
      </c>
      <c r="V159" s="55">
        <v>0.996704670826897</v>
      </c>
      <c r="W159" s="55">
        <v>0.992742813631403</v>
      </c>
      <c r="X159" s="55">
        <v>267.570012544447</v>
      </c>
      <c r="Y159" s="55">
        <v>0.0628670475008247</v>
      </c>
      <c r="Z159" s="55">
        <v>183.369107142857</v>
      </c>
      <c r="AA159" s="55">
        <v>0.933225583051277</v>
      </c>
      <c r="AB159" s="55">
        <v>0.998222263661543</v>
      </c>
    </row>
  </sheetData>
  <mergeCells count="10">
    <mergeCell ref="V142:AB142"/>
    <mergeCell ref="V151:AB151"/>
    <mergeCell ref="U141:U142"/>
    <mergeCell ref="BA2:BA3"/>
    <mergeCell ref="BA4:BA5"/>
    <mergeCell ref="BA6:BA7"/>
    <mergeCell ref="BA8:BA9"/>
    <mergeCell ref="BA10:BA11"/>
    <mergeCell ref="BA12:BA13"/>
    <mergeCell ref="BA14:BA15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D20"/>
  <sheetViews>
    <sheetView topLeftCell="A16" workbookViewId="0">
      <selection activeCell="AU1" sqref="AU1:BD15"/>
    </sheetView>
  </sheetViews>
  <sheetFormatPr defaultColWidth="9" defaultRowHeight="14.4"/>
  <cols>
    <col min="1" max="1" width="5" customWidth="1"/>
    <col min="3" max="11" width="12.5740740740741" customWidth="1"/>
  </cols>
  <sheetData>
    <row r="1" spans="2:56">
      <c r="B1" t="s">
        <v>40</v>
      </c>
      <c r="AU1" s="38" t="s">
        <v>41</v>
      </c>
      <c r="AV1" s="39" t="s">
        <v>42</v>
      </c>
      <c r="AW1" s="39" t="s">
        <v>6</v>
      </c>
      <c r="AX1" s="39" t="s">
        <v>7</v>
      </c>
      <c r="AY1" s="39" t="s">
        <v>8</v>
      </c>
      <c r="AZ1" s="39" t="s">
        <v>9</v>
      </c>
      <c r="BA1" s="39" t="s">
        <v>10</v>
      </c>
      <c r="BB1" s="39" t="s">
        <v>11</v>
      </c>
      <c r="BC1" s="39" t="s">
        <v>12</v>
      </c>
      <c r="BD1" s="39" t="s">
        <v>13</v>
      </c>
    </row>
    <row r="2" spans="2:56">
      <c r="B2" t="s">
        <v>43</v>
      </c>
      <c r="AU2" s="40"/>
      <c r="AV2" s="41" t="s">
        <v>38</v>
      </c>
      <c r="AW2" s="46"/>
      <c r="AX2" s="46"/>
      <c r="AY2" s="46"/>
      <c r="AZ2" s="46"/>
      <c r="BA2" s="46"/>
      <c r="BB2" s="46"/>
      <c r="BC2" s="46"/>
      <c r="BD2" s="47"/>
    </row>
    <row r="3" spans="47:56">
      <c r="AU3" s="39" t="s">
        <v>14</v>
      </c>
      <c r="AV3" s="10">
        <v>450</v>
      </c>
      <c r="AW3" s="10">
        <v>-2198.93609747799</v>
      </c>
      <c r="AX3" s="10">
        <v>413.462438755946</v>
      </c>
      <c r="AY3" s="10">
        <v>-248.341</v>
      </c>
      <c r="AZ3" s="10">
        <v>521.506</v>
      </c>
      <c r="BA3" s="10">
        <v>576.333</v>
      </c>
      <c r="BB3" s="10">
        <v>540.333</v>
      </c>
      <c r="BC3" s="10">
        <v>458.6</v>
      </c>
      <c r="BD3" s="10">
        <v>497.837</v>
      </c>
    </row>
    <row r="4" spans="47:56">
      <c r="AU4" s="39" t="s">
        <v>18</v>
      </c>
      <c r="AV4" s="10">
        <v>10159</v>
      </c>
      <c r="AW4" s="10">
        <v>9975.50527471398</v>
      </c>
      <c r="AX4" s="10">
        <v>11590.4915023129</v>
      </c>
      <c r="AY4" s="10">
        <v>10681.771</v>
      </c>
      <c r="AZ4" s="10">
        <v>10105.254</v>
      </c>
      <c r="BA4" s="10">
        <v>10150.667</v>
      </c>
      <c r="BB4" s="10">
        <v>9853.824</v>
      </c>
      <c r="BC4" s="10">
        <v>10166.26</v>
      </c>
      <c r="BD4" s="10">
        <v>10318.382</v>
      </c>
    </row>
    <row r="5" spans="47:56">
      <c r="AU5" s="39" t="s">
        <v>44</v>
      </c>
      <c r="AV5" s="10">
        <v>2147.25</v>
      </c>
      <c r="AW5" s="10">
        <v>2485.71149969684</v>
      </c>
      <c r="AX5" s="10">
        <v>2331.46879420282</v>
      </c>
      <c r="AY5" s="10">
        <v>2176.16975</v>
      </c>
      <c r="AZ5" s="10">
        <v>2192.48575</v>
      </c>
      <c r="BA5" s="10">
        <v>2150.556</v>
      </c>
      <c r="BB5" s="10">
        <v>2141.5</v>
      </c>
      <c r="BC5" s="10">
        <v>2133.68225</v>
      </c>
      <c r="BD5" s="10">
        <v>2139.696</v>
      </c>
    </row>
    <row r="6" spans="2:56">
      <c r="B6" t="s">
        <v>45</v>
      </c>
      <c r="AU6" s="39" t="s">
        <v>25</v>
      </c>
      <c r="AV6" s="10">
        <v>3378</v>
      </c>
      <c r="AW6" s="10">
        <v>4414.4957963701</v>
      </c>
      <c r="AX6" s="10">
        <v>4026.64420738354</v>
      </c>
      <c r="AY6" s="10">
        <v>3712.169</v>
      </c>
      <c r="AZ6" s="10">
        <v>3451.817</v>
      </c>
      <c r="BA6" s="10">
        <v>3296.25</v>
      </c>
      <c r="BB6" s="10">
        <v>3118</v>
      </c>
      <c r="BC6" s="10">
        <v>3532.143</v>
      </c>
      <c r="BD6" s="10">
        <v>3577.204</v>
      </c>
    </row>
    <row r="7" spans="2:56">
      <c r="B7" s="6" t="s">
        <v>46</v>
      </c>
      <c r="C7" s="7">
        <v>120</v>
      </c>
      <c r="D7" s="7">
        <v>120</v>
      </c>
      <c r="E7" s="7">
        <v>120</v>
      </c>
      <c r="F7" s="7">
        <v>120</v>
      </c>
      <c r="G7" s="7">
        <v>120</v>
      </c>
      <c r="H7" s="7">
        <v>120</v>
      </c>
      <c r="I7" s="7">
        <v>120</v>
      </c>
      <c r="J7" s="7">
        <v>120</v>
      </c>
      <c r="K7" s="7">
        <v>120</v>
      </c>
      <c r="AU7" s="39" t="s">
        <v>47</v>
      </c>
      <c r="AV7" s="10">
        <v>6439.5</v>
      </c>
      <c r="AW7" s="10">
        <v>6559.42342942372</v>
      </c>
      <c r="AX7" s="10">
        <v>5687.47197656651</v>
      </c>
      <c r="AY7" s="10">
        <v>6418.192</v>
      </c>
      <c r="AZ7" s="10">
        <v>6498.9205</v>
      </c>
      <c r="BA7" s="10">
        <v>6379.8</v>
      </c>
      <c r="BB7" s="10">
        <v>6456.8</v>
      </c>
      <c r="BC7" s="10">
        <v>6441.27025</v>
      </c>
      <c r="BD7" s="10">
        <v>6457.28825</v>
      </c>
    </row>
    <row r="8" ht="15.15" spans="47:56">
      <c r="AU8" s="39" t="s">
        <v>48</v>
      </c>
      <c r="AV8" s="10">
        <v>4292.25</v>
      </c>
      <c r="AW8" s="10">
        <v>4073.71192972688</v>
      </c>
      <c r="AX8" s="10">
        <v>3356.00318236369</v>
      </c>
      <c r="AY8" s="10">
        <v>4242.02225</v>
      </c>
      <c r="AZ8" s="10">
        <v>4306.43475</v>
      </c>
      <c r="BA8" s="10">
        <v>4229.244</v>
      </c>
      <c r="BB8" s="10">
        <v>4315.3</v>
      </c>
      <c r="BC8" s="10">
        <v>4307.588</v>
      </c>
      <c r="BD8" s="10">
        <v>4317.59225</v>
      </c>
    </row>
    <row r="9" spans="2:56">
      <c r="B9" s="15" t="s">
        <v>41</v>
      </c>
      <c r="C9" s="36" t="s">
        <v>42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6" t="s">
        <v>13</v>
      </c>
      <c r="AU9" s="42"/>
      <c r="AV9" s="43" t="s">
        <v>39</v>
      </c>
      <c r="AW9" s="48"/>
      <c r="AX9" s="48"/>
      <c r="AY9" s="48"/>
      <c r="AZ9" s="48"/>
      <c r="BA9" s="48"/>
      <c r="BB9" s="48"/>
      <c r="BC9" s="48"/>
      <c r="BD9" s="49"/>
    </row>
    <row r="10" spans="2:56">
      <c r="B10" s="11" t="s">
        <v>14</v>
      </c>
      <c r="C10" s="12">
        <v>450</v>
      </c>
      <c r="D10" s="12">
        <v>-2198.93609747799</v>
      </c>
      <c r="E10" s="12">
        <v>413.462438755946</v>
      </c>
      <c r="F10" s="12">
        <v>-248.341</v>
      </c>
      <c r="G10" s="12">
        <v>521.506</v>
      </c>
      <c r="H10" s="12">
        <v>576.333</v>
      </c>
      <c r="I10" s="12">
        <v>540.333</v>
      </c>
      <c r="J10" s="12">
        <v>458.6</v>
      </c>
      <c r="K10" s="12">
        <v>497.837</v>
      </c>
      <c r="AU10" s="44" t="s">
        <v>49</v>
      </c>
      <c r="AV10" s="45">
        <v>490</v>
      </c>
      <c r="AW10" s="45">
        <v>-1839.39</v>
      </c>
      <c r="AX10" s="45">
        <v>622.4</v>
      </c>
      <c r="AY10" s="45">
        <v>-130.93</v>
      </c>
      <c r="AZ10" s="45">
        <v>631.05</v>
      </c>
      <c r="BA10" s="45">
        <v>576.33</v>
      </c>
      <c r="BB10" s="45">
        <v>540.33</v>
      </c>
      <c r="BC10" s="45">
        <v>461.41</v>
      </c>
      <c r="BD10" s="45">
        <v>28.29</v>
      </c>
    </row>
    <row r="11" spans="2:56">
      <c r="B11" s="11" t="s">
        <v>18</v>
      </c>
      <c r="C11" s="12">
        <v>10159</v>
      </c>
      <c r="D11" s="12">
        <v>9975.50527471398</v>
      </c>
      <c r="E11" s="12">
        <v>11590.4915023129</v>
      </c>
      <c r="F11" s="12">
        <v>10681.771</v>
      </c>
      <c r="G11" s="12">
        <v>10105.254</v>
      </c>
      <c r="H11" s="12">
        <v>10150.667</v>
      </c>
      <c r="I11" s="12">
        <v>9853.824</v>
      </c>
      <c r="J11" s="12">
        <v>10166.26</v>
      </c>
      <c r="K11" s="12">
        <v>10318.382</v>
      </c>
      <c r="AU11" s="44" t="s">
        <v>50</v>
      </c>
      <c r="AV11" s="45">
        <v>10147</v>
      </c>
      <c r="AW11" s="45">
        <v>9615.25</v>
      </c>
      <c r="AX11" s="45">
        <v>11186.43</v>
      </c>
      <c r="AY11" s="45">
        <v>10340.01</v>
      </c>
      <c r="AZ11" s="45">
        <v>10066.61</v>
      </c>
      <c r="BA11" s="45">
        <v>10150.67</v>
      </c>
      <c r="BB11" s="45">
        <v>9853.82</v>
      </c>
      <c r="BC11" s="45">
        <v>10171.91</v>
      </c>
      <c r="BD11" s="45">
        <v>10331.1</v>
      </c>
    </row>
    <row r="12" ht="16.8" spans="2:56">
      <c r="B12" s="11" t="s">
        <v>44</v>
      </c>
      <c r="C12" s="12">
        <v>2147.25</v>
      </c>
      <c r="D12" s="12">
        <v>2485.71149969684</v>
      </c>
      <c r="E12" s="12">
        <v>2331.46879420282</v>
      </c>
      <c r="F12" s="12">
        <v>2176.16975</v>
      </c>
      <c r="G12" s="12">
        <v>2192.48575</v>
      </c>
      <c r="H12" s="12">
        <v>2150.556</v>
      </c>
      <c r="I12" s="12">
        <v>2141.5</v>
      </c>
      <c r="J12" s="12">
        <v>2133.68225</v>
      </c>
      <c r="K12" s="12">
        <v>2139.696</v>
      </c>
      <c r="AU12" s="44" t="s">
        <v>51</v>
      </c>
      <c r="AV12" s="45">
        <v>1591.5</v>
      </c>
      <c r="AW12" s="45">
        <v>1835.86</v>
      </c>
      <c r="AX12" s="45">
        <v>1926.73</v>
      </c>
      <c r="AY12" s="45">
        <v>1809.9</v>
      </c>
      <c r="AZ12" s="45">
        <v>1658.5</v>
      </c>
      <c r="BA12" s="45">
        <v>1411.25</v>
      </c>
      <c r="BB12" s="45">
        <v>1206.83</v>
      </c>
      <c r="BC12" s="45">
        <v>1509.19</v>
      </c>
      <c r="BD12" s="45">
        <v>1668.79</v>
      </c>
    </row>
    <row r="13" spans="2:56">
      <c r="B13" s="11" t="s">
        <v>25</v>
      </c>
      <c r="C13" s="12">
        <v>3378</v>
      </c>
      <c r="D13" s="12">
        <v>4414.4957963701</v>
      </c>
      <c r="E13" s="12">
        <v>4026.64420738354</v>
      </c>
      <c r="F13" s="12">
        <v>3712.169</v>
      </c>
      <c r="G13" s="12">
        <v>3451.817</v>
      </c>
      <c r="H13" s="12">
        <v>3296.25</v>
      </c>
      <c r="I13" s="12">
        <v>3118</v>
      </c>
      <c r="J13" s="12">
        <v>3532.143</v>
      </c>
      <c r="K13" s="12">
        <v>3577.204</v>
      </c>
      <c r="AU13" s="44" t="s">
        <v>25</v>
      </c>
      <c r="AV13" s="45">
        <v>3284</v>
      </c>
      <c r="AW13" s="45">
        <v>4275.3</v>
      </c>
      <c r="AX13" s="45">
        <v>3564.27</v>
      </c>
      <c r="AY13" s="45">
        <v>3637.85</v>
      </c>
      <c r="AZ13" s="45">
        <v>3659.2</v>
      </c>
      <c r="BA13" s="45">
        <v>4426.5</v>
      </c>
      <c r="BB13" s="45">
        <v>3118</v>
      </c>
      <c r="BC13" s="45">
        <v>3461.72</v>
      </c>
      <c r="BD13" s="45">
        <v>3493.09</v>
      </c>
    </row>
    <row r="14" ht="16.8" spans="2:56">
      <c r="B14" s="11" t="s">
        <v>47</v>
      </c>
      <c r="C14" s="12">
        <v>6439.5</v>
      </c>
      <c r="D14" s="12">
        <v>6559.42342942372</v>
      </c>
      <c r="E14" s="12">
        <v>5687.47197656651</v>
      </c>
      <c r="F14" s="12">
        <v>6418.192</v>
      </c>
      <c r="G14" s="12">
        <v>6498.9205</v>
      </c>
      <c r="H14" s="12">
        <v>6379.8</v>
      </c>
      <c r="I14" s="12">
        <v>6456.8</v>
      </c>
      <c r="J14" s="12">
        <v>6441.27025</v>
      </c>
      <c r="K14" s="12">
        <v>6457.28825</v>
      </c>
      <c r="AU14" s="44" t="s">
        <v>52</v>
      </c>
      <c r="AV14" s="45">
        <v>5997.5</v>
      </c>
      <c r="AW14" s="45">
        <v>6431.09</v>
      </c>
      <c r="AX14" s="45">
        <v>5794.61</v>
      </c>
      <c r="AY14" s="45">
        <v>5914.58</v>
      </c>
      <c r="AZ14" s="45">
        <v>6274.56</v>
      </c>
      <c r="BA14" s="45">
        <v>6435.35</v>
      </c>
      <c r="BB14" s="45">
        <v>6456.8</v>
      </c>
      <c r="BC14" s="45">
        <v>6128.2</v>
      </c>
      <c r="BD14" s="45">
        <v>6203.48</v>
      </c>
    </row>
    <row r="15" spans="2:56">
      <c r="B15" s="11" t="s">
        <v>48</v>
      </c>
      <c r="C15" s="37">
        <f>C14-C12</f>
        <v>4292.25</v>
      </c>
      <c r="D15" s="37">
        <f t="shared" ref="D15:K15" si="0">D14-D12</f>
        <v>4073.71192972688</v>
      </c>
      <c r="E15" s="37">
        <f t="shared" si="0"/>
        <v>3356.00318236369</v>
      </c>
      <c r="F15" s="37">
        <f t="shared" si="0"/>
        <v>4242.02225</v>
      </c>
      <c r="G15" s="37">
        <f t="shared" si="0"/>
        <v>4306.43475</v>
      </c>
      <c r="H15" s="37">
        <f t="shared" si="0"/>
        <v>4229.244</v>
      </c>
      <c r="I15" s="37">
        <f t="shared" si="0"/>
        <v>4315.3</v>
      </c>
      <c r="J15" s="37">
        <f t="shared" si="0"/>
        <v>4307.588</v>
      </c>
      <c r="K15" s="37">
        <f t="shared" si="0"/>
        <v>4317.59225</v>
      </c>
      <c r="AU15" s="44" t="s">
        <v>48</v>
      </c>
      <c r="AV15" s="45">
        <v>4406</v>
      </c>
      <c r="AW15" s="45">
        <v>4595.23</v>
      </c>
      <c r="AX15" s="45">
        <v>3867.88</v>
      </c>
      <c r="AY15" s="45">
        <v>4104.69</v>
      </c>
      <c r="AZ15" s="45">
        <v>4616.06</v>
      </c>
      <c r="BA15" s="45">
        <v>5024.1</v>
      </c>
      <c r="BB15" s="45">
        <v>5249.97</v>
      </c>
      <c r="BC15" s="45">
        <v>4619.01</v>
      </c>
      <c r="BD15" s="45">
        <v>4534.69</v>
      </c>
    </row>
    <row r="18" spans="2:11">
      <c r="B18" s="11" t="s">
        <v>17</v>
      </c>
      <c r="C18" s="12">
        <v>4458.65</v>
      </c>
      <c r="D18" s="12">
        <v>4458.65</v>
      </c>
      <c r="E18" s="12">
        <v>4507.49040472595</v>
      </c>
      <c r="F18" s="12">
        <v>4469.28486666667</v>
      </c>
      <c r="G18" s="12">
        <v>4489.37790833333</v>
      </c>
      <c r="H18" s="12">
        <v>4458.64996666666</v>
      </c>
      <c r="I18" s="12">
        <v>4458.65000833333</v>
      </c>
      <c r="J18" s="12">
        <v>4458.92956666667</v>
      </c>
      <c r="K18" s="12">
        <v>4459.295875</v>
      </c>
    </row>
    <row r="19" spans="2:11">
      <c r="B19" s="11" t="s">
        <v>53</v>
      </c>
      <c r="C19" s="12">
        <v>9608490.7</v>
      </c>
      <c r="D19" s="12">
        <v>8422965.06178886</v>
      </c>
      <c r="E19" s="12">
        <v>8645783.81241519</v>
      </c>
      <c r="F19" s="12">
        <v>8937212.00073958</v>
      </c>
      <c r="G19" s="12">
        <v>9191077.80717277</v>
      </c>
      <c r="H19" s="12">
        <v>9605971.84084112</v>
      </c>
      <c r="I19" s="12">
        <v>9539028.06196557</v>
      </c>
      <c r="J19" s="12">
        <v>9552372.79902179</v>
      </c>
      <c r="K19" s="12">
        <v>9500370.63493433</v>
      </c>
    </row>
    <row r="20" ht="15.15" spans="2:11">
      <c r="B20" s="13" t="s">
        <v>54</v>
      </c>
      <c r="C20" s="14">
        <v>3099.75655495718</v>
      </c>
      <c r="D20" s="14">
        <v>2902.23449462459</v>
      </c>
      <c r="E20" s="14">
        <v>2940.3713732138</v>
      </c>
      <c r="F20" s="14">
        <v>2989.51701797123</v>
      </c>
      <c r="G20" s="14">
        <v>3031.67904092316</v>
      </c>
      <c r="H20" s="14">
        <v>3099.35022881266</v>
      </c>
      <c r="I20" s="14">
        <v>3088.53170000982</v>
      </c>
      <c r="J20" s="14">
        <v>3090.69131409492</v>
      </c>
      <c r="K20" s="14">
        <v>3082.26712582384</v>
      </c>
    </row>
  </sheetData>
  <mergeCells count="3">
    <mergeCell ref="AV2:BD2"/>
    <mergeCell ref="AV9:BD9"/>
    <mergeCell ref="AU1:AU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83"/>
  <sheetViews>
    <sheetView topLeftCell="A175" workbookViewId="0">
      <selection activeCell="P62" sqref="P62"/>
    </sheetView>
  </sheetViews>
  <sheetFormatPr defaultColWidth="9" defaultRowHeight="14.4"/>
  <cols>
    <col min="1" max="1" width="5" customWidth="1"/>
    <col min="3" max="3" width="13.712962962963" customWidth="1"/>
    <col min="7" max="9" width="10.5740740740741" customWidth="1"/>
    <col min="10" max="10" width="10.287037037037" customWidth="1"/>
  </cols>
  <sheetData>
    <row r="1" spans="2:2">
      <c r="B1" t="s">
        <v>55</v>
      </c>
    </row>
    <row r="2" spans="2:2">
      <c r="B2" t="s">
        <v>56</v>
      </c>
    </row>
    <row r="3" spans="2:2">
      <c r="B3" t="s">
        <v>57</v>
      </c>
    </row>
    <row r="4" spans="2:2">
      <c r="B4" t="s">
        <v>58</v>
      </c>
    </row>
    <row r="5" spans="2:2">
      <c r="B5" t="s">
        <v>59</v>
      </c>
    </row>
    <row r="6" spans="2:2">
      <c r="B6" t="s">
        <v>60</v>
      </c>
    </row>
    <row r="10" spans="2:2">
      <c r="B10" t="s">
        <v>61</v>
      </c>
    </row>
    <row r="11" ht="15.15"/>
    <row r="12" spans="2:9">
      <c r="B12" s="15" t="s">
        <v>62</v>
      </c>
      <c r="C12" s="16" t="s">
        <v>63</v>
      </c>
      <c r="D12" s="16" t="s">
        <v>64</v>
      </c>
      <c r="E12" s="16" t="s">
        <v>65</v>
      </c>
      <c r="F12" s="16" t="s">
        <v>14</v>
      </c>
      <c r="G12" s="16" t="s">
        <v>18</v>
      </c>
      <c r="H12" s="16" t="s">
        <v>17</v>
      </c>
      <c r="I12" s="16" t="s">
        <v>66</v>
      </c>
    </row>
    <row r="13" spans="2:9">
      <c r="B13" s="17" t="s">
        <v>5</v>
      </c>
      <c r="C13" s="18">
        <v>120</v>
      </c>
      <c r="D13" s="18">
        <v>0</v>
      </c>
      <c r="E13" s="18">
        <v>120</v>
      </c>
      <c r="F13" s="19">
        <v>450</v>
      </c>
      <c r="G13" s="19">
        <v>10159</v>
      </c>
      <c r="H13" s="19">
        <v>4458.65</v>
      </c>
      <c r="I13" s="19">
        <v>3099.75655495718</v>
      </c>
    </row>
    <row r="14" spans="2:9">
      <c r="B14" s="11" t="s">
        <v>0</v>
      </c>
      <c r="C14" s="20">
        <v>120</v>
      </c>
      <c r="D14" s="20">
        <v>0</v>
      </c>
      <c r="E14" s="20">
        <v>120</v>
      </c>
      <c r="F14" s="12">
        <v>1</v>
      </c>
      <c r="G14" s="12">
        <v>2</v>
      </c>
      <c r="H14" s="12">
        <v>1.24166666666667</v>
      </c>
      <c r="I14" s="12">
        <v>0.429888266377006</v>
      </c>
    </row>
    <row r="15" spans="2:9">
      <c r="B15" s="11" t="s">
        <v>1</v>
      </c>
      <c r="C15" s="20">
        <v>120</v>
      </c>
      <c r="D15" s="20">
        <v>0</v>
      </c>
      <c r="E15" s="20">
        <v>120</v>
      </c>
      <c r="F15" s="12">
        <v>9</v>
      </c>
      <c r="G15" s="12">
        <v>18</v>
      </c>
      <c r="H15" s="12">
        <v>13.425</v>
      </c>
      <c r="I15" s="12">
        <v>4.51824034313352</v>
      </c>
    </row>
    <row r="16" spans="2:9">
      <c r="B16" s="11" t="s">
        <v>2</v>
      </c>
      <c r="C16" s="20">
        <v>120</v>
      </c>
      <c r="D16" s="20">
        <v>0</v>
      </c>
      <c r="E16" s="20">
        <v>120</v>
      </c>
      <c r="F16" s="12">
        <v>5</v>
      </c>
      <c r="G16" s="12">
        <v>110</v>
      </c>
      <c r="H16" s="12">
        <v>59.25</v>
      </c>
      <c r="I16" s="12">
        <v>31.9969142419766</v>
      </c>
    </row>
    <row r="17" spans="2:9">
      <c r="B17" s="11" t="s">
        <v>3</v>
      </c>
      <c r="C17" s="20">
        <v>120</v>
      </c>
      <c r="D17" s="20">
        <v>0</v>
      </c>
      <c r="E17" s="20">
        <v>120</v>
      </c>
      <c r="F17" s="12">
        <v>15</v>
      </c>
      <c r="G17" s="12">
        <v>45</v>
      </c>
      <c r="H17" s="12">
        <v>29.75</v>
      </c>
      <c r="I17" s="12">
        <v>15.0608011437784</v>
      </c>
    </row>
    <row r="18" ht="15.15" spans="2:9">
      <c r="B18" s="13" t="s">
        <v>4</v>
      </c>
      <c r="C18" s="21">
        <v>120</v>
      </c>
      <c r="D18" s="21">
        <v>0</v>
      </c>
      <c r="E18" s="21">
        <v>120</v>
      </c>
      <c r="F18" s="14">
        <v>60</v>
      </c>
      <c r="G18" s="14">
        <v>120</v>
      </c>
      <c r="H18" s="14">
        <v>74.5</v>
      </c>
      <c r="I18" s="14">
        <v>25.7932959826203</v>
      </c>
    </row>
    <row r="21" spans="2:2">
      <c r="B21" t="s">
        <v>67</v>
      </c>
    </row>
    <row r="22" ht="15.15"/>
    <row r="23" spans="2:8">
      <c r="B23" s="15" t="s">
        <v>68</v>
      </c>
      <c r="C23" s="16" t="s">
        <v>0</v>
      </c>
      <c r="D23" s="16" t="s">
        <v>1</v>
      </c>
      <c r="E23" s="16" t="s">
        <v>2</v>
      </c>
      <c r="F23" s="16" t="s">
        <v>3</v>
      </c>
      <c r="G23" s="16" t="s">
        <v>4</v>
      </c>
      <c r="H23" s="22" t="s">
        <v>5</v>
      </c>
    </row>
    <row r="24" spans="2:8">
      <c r="B24" s="6" t="s">
        <v>0</v>
      </c>
      <c r="C24" s="23">
        <v>1</v>
      </c>
      <c r="D24" s="24">
        <v>-0.555187131385177</v>
      </c>
      <c r="E24" s="24">
        <v>0.0132876631877199</v>
      </c>
      <c r="F24" s="24">
        <v>-0.010058913543507</v>
      </c>
      <c r="G24" s="24">
        <v>-0.318681318681319</v>
      </c>
      <c r="H24" s="19">
        <v>-0.546225845794589</v>
      </c>
    </row>
    <row r="25" spans="2:8">
      <c r="B25" s="11" t="s">
        <v>1</v>
      </c>
      <c r="C25" s="12">
        <v>-0.555187131385177</v>
      </c>
      <c r="D25" s="25">
        <v>1</v>
      </c>
      <c r="E25" s="12">
        <v>0.0022233459913462</v>
      </c>
      <c r="F25" s="12">
        <v>-0.000277854959711002</v>
      </c>
      <c r="G25" s="12">
        <v>0.574007034143996</v>
      </c>
      <c r="H25" s="26">
        <v>0.642146313851826</v>
      </c>
    </row>
    <row r="26" spans="2:8">
      <c r="B26" s="11" t="s">
        <v>2</v>
      </c>
      <c r="C26" s="12">
        <v>0.0132876631877199</v>
      </c>
      <c r="D26" s="12">
        <v>0.0022233459913462</v>
      </c>
      <c r="E26" s="25">
        <v>1</v>
      </c>
      <c r="F26" s="12">
        <v>0.0126861506565048</v>
      </c>
      <c r="G26" s="12">
        <v>-0.0539143115547714</v>
      </c>
      <c r="H26" s="26">
        <v>0.360897165192899</v>
      </c>
    </row>
    <row r="27" spans="2:8">
      <c r="B27" s="11" t="s">
        <v>3</v>
      </c>
      <c r="C27" s="12">
        <v>-0.010058913543507</v>
      </c>
      <c r="D27" s="12">
        <v>-0.000277854959711002</v>
      </c>
      <c r="E27" s="12">
        <v>0.0126861506565048</v>
      </c>
      <c r="F27" s="25">
        <v>1</v>
      </c>
      <c r="G27" s="12">
        <v>0.0288788163023265</v>
      </c>
      <c r="H27" s="26">
        <v>-0.521615341687615</v>
      </c>
    </row>
    <row r="28" spans="2:8">
      <c r="B28" s="11" t="s">
        <v>4</v>
      </c>
      <c r="C28" s="12">
        <v>-0.318681318681319</v>
      </c>
      <c r="D28" s="12">
        <v>0.574007034143996</v>
      </c>
      <c r="E28" s="12">
        <v>-0.0539143115547714</v>
      </c>
      <c r="F28" s="12">
        <v>0.0288788163023265</v>
      </c>
      <c r="G28" s="25">
        <v>1</v>
      </c>
      <c r="H28" s="26">
        <v>0.345550861687897</v>
      </c>
    </row>
    <row r="29" ht="15.15" spans="2:8">
      <c r="B29" s="27" t="s">
        <v>5</v>
      </c>
      <c r="C29" s="28">
        <v>-0.546225845794589</v>
      </c>
      <c r="D29" s="28">
        <v>0.642146313851826</v>
      </c>
      <c r="E29" s="28">
        <v>0.360897165192899</v>
      </c>
      <c r="F29" s="28">
        <v>-0.521615341687615</v>
      </c>
      <c r="G29" s="28">
        <v>0.345550861687897</v>
      </c>
      <c r="H29" s="29">
        <v>1</v>
      </c>
    </row>
    <row r="32" spans="2:2">
      <c r="B32" s="30" t="s">
        <v>69</v>
      </c>
    </row>
    <row r="34" spans="2:2">
      <c r="B34" t="s">
        <v>70</v>
      </c>
    </row>
    <row r="35" ht="15.15"/>
    <row r="36" spans="2:3">
      <c r="B36" s="31" t="s">
        <v>63</v>
      </c>
      <c r="C36" s="32">
        <v>120</v>
      </c>
    </row>
    <row r="37" spans="2:3">
      <c r="B37" s="11" t="s">
        <v>71</v>
      </c>
      <c r="C37" s="12">
        <v>114</v>
      </c>
    </row>
    <row r="38" spans="2:3">
      <c r="B38" s="11" t="s">
        <v>72</v>
      </c>
      <c r="C38" s="12">
        <v>0.946766452117319</v>
      </c>
    </row>
    <row r="39" spans="2:3">
      <c r="B39" s="11" t="s">
        <v>73</v>
      </c>
      <c r="C39" s="12">
        <v>61836893.0156503</v>
      </c>
    </row>
    <row r="40" spans="2:3">
      <c r="B40" s="11" t="s">
        <v>74</v>
      </c>
      <c r="C40" s="12">
        <v>542428.886102196</v>
      </c>
    </row>
    <row r="41" spans="2:3">
      <c r="B41" s="11" t="s">
        <v>32</v>
      </c>
      <c r="C41" s="12">
        <v>736.497716291229</v>
      </c>
    </row>
    <row r="42" ht="15.15" spans="2:3">
      <c r="B42" s="13" t="s">
        <v>75</v>
      </c>
      <c r="C42" s="14">
        <v>66</v>
      </c>
    </row>
    <row r="45" spans="2:2">
      <c r="B45" t="s">
        <v>76</v>
      </c>
    </row>
    <row r="46" ht="15.15"/>
    <row r="47" spans="2:3">
      <c r="B47" s="15" t="s">
        <v>77</v>
      </c>
      <c r="C47" s="16" t="s">
        <v>78</v>
      </c>
    </row>
    <row r="48" spans="2:3">
      <c r="B48" s="6" t="s">
        <v>79</v>
      </c>
      <c r="C48" s="24">
        <v>711.480358217539</v>
      </c>
    </row>
    <row r="49" spans="2:3">
      <c r="B49" s="11" t="s">
        <v>80</v>
      </c>
      <c r="C49" s="12">
        <v>-1.26650157594612</v>
      </c>
    </row>
    <row r="50" spans="2:3">
      <c r="B50" s="11" t="s">
        <v>81</v>
      </c>
      <c r="C50" s="12">
        <v>0.837564629083682</v>
      </c>
    </row>
    <row r="51" spans="2:3">
      <c r="B51" s="11" t="s">
        <v>82</v>
      </c>
      <c r="C51" s="12">
        <v>0.372299576829688</v>
      </c>
    </row>
    <row r="52" spans="2:3">
      <c r="B52" s="11" t="s">
        <v>83</v>
      </c>
      <c r="C52" s="12">
        <v>-0.61984074741796</v>
      </c>
    </row>
    <row r="53" ht="15.15" spans="2:3">
      <c r="B53" s="13" t="s">
        <v>84</v>
      </c>
      <c r="C53" s="14">
        <v>0.062306612359528</v>
      </c>
    </row>
    <row r="56" spans="2:2">
      <c r="B56" t="s">
        <v>85</v>
      </c>
    </row>
    <row r="58" spans="2:2">
      <c r="B58" t="s">
        <v>86</v>
      </c>
    </row>
    <row r="61" spans="2:2">
      <c r="B61" t="s">
        <v>87</v>
      </c>
    </row>
    <row r="62" ht="15.15"/>
    <row r="63" spans="2:10">
      <c r="B63" s="15" t="s">
        <v>63</v>
      </c>
      <c r="C63" s="16" t="s">
        <v>0</v>
      </c>
      <c r="D63" s="16" t="s">
        <v>1</v>
      </c>
      <c r="E63" s="16" t="s">
        <v>2</v>
      </c>
      <c r="F63" s="16" t="s">
        <v>3</v>
      </c>
      <c r="G63" s="16" t="s">
        <v>4</v>
      </c>
      <c r="H63" s="16" t="s">
        <v>5</v>
      </c>
      <c r="I63" s="16" t="s">
        <v>88</v>
      </c>
      <c r="J63" s="16" t="s">
        <v>89</v>
      </c>
    </row>
    <row r="64" spans="2:10">
      <c r="B64" s="6" t="s">
        <v>90</v>
      </c>
      <c r="C64" s="24">
        <v>1</v>
      </c>
      <c r="D64" s="24">
        <v>9</v>
      </c>
      <c r="E64" s="24">
        <v>10</v>
      </c>
      <c r="F64" s="24">
        <v>15</v>
      </c>
      <c r="G64" s="24">
        <v>60</v>
      </c>
      <c r="H64" s="24">
        <v>2405</v>
      </c>
      <c r="I64" s="24">
        <v>2543.92065185175</v>
      </c>
      <c r="J64" s="24">
        <v>-138.920651851745</v>
      </c>
    </row>
    <row r="65" spans="2:10">
      <c r="B65" s="11" t="s">
        <v>91</v>
      </c>
      <c r="C65" s="12">
        <v>1</v>
      </c>
      <c r="D65" s="12">
        <v>9</v>
      </c>
      <c r="E65" s="12">
        <v>15</v>
      </c>
      <c r="F65" s="12">
        <v>15</v>
      </c>
      <c r="G65" s="12">
        <v>60</v>
      </c>
      <c r="H65" s="12">
        <v>3201</v>
      </c>
      <c r="I65" s="12">
        <v>2958.4365695964</v>
      </c>
      <c r="J65" s="12">
        <v>242.5634304036</v>
      </c>
    </row>
    <row r="66" spans="2:10">
      <c r="B66" s="11" t="s">
        <v>92</v>
      </c>
      <c r="C66" s="12">
        <v>1</v>
      </c>
      <c r="D66" s="12">
        <v>9</v>
      </c>
      <c r="E66" s="12">
        <v>20</v>
      </c>
      <c r="F66" s="12">
        <v>15</v>
      </c>
      <c r="G66" s="12">
        <v>60</v>
      </c>
      <c r="H66" s="12">
        <v>3260</v>
      </c>
      <c r="I66" s="12">
        <v>3292.88755680551</v>
      </c>
      <c r="J66" s="12">
        <v>-32.88755680551</v>
      </c>
    </row>
    <row r="67" spans="2:10">
      <c r="B67" s="11" t="s">
        <v>93</v>
      </c>
      <c r="C67" s="12">
        <v>1</v>
      </c>
      <c r="D67" s="12">
        <v>9</v>
      </c>
      <c r="E67" s="12">
        <v>25</v>
      </c>
      <c r="F67" s="12">
        <v>15</v>
      </c>
      <c r="G67" s="12">
        <v>60</v>
      </c>
      <c r="H67" s="12">
        <v>3302</v>
      </c>
      <c r="I67" s="12">
        <v>3578.13282256534</v>
      </c>
      <c r="J67" s="12">
        <v>-276.132822565338</v>
      </c>
    </row>
    <row r="68" spans="2:10">
      <c r="B68" s="11" t="s">
        <v>94</v>
      </c>
      <c r="C68" s="12">
        <v>1</v>
      </c>
      <c r="D68" s="12">
        <v>9</v>
      </c>
      <c r="E68" s="12">
        <v>30</v>
      </c>
      <c r="F68" s="12">
        <v>15</v>
      </c>
      <c r="G68" s="12">
        <v>60</v>
      </c>
      <c r="H68" s="12">
        <v>3422</v>
      </c>
      <c r="I68" s="12">
        <v>3829.44293507394</v>
      </c>
      <c r="J68" s="12">
        <v>-407.442935073944</v>
      </c>
    </row>
    <row r="69" spans="2:10">
      <c r="B69" s="11" t="s">
        <v>95</v>
      </c>
      <c r="C69" s="12">
        <v>1</v>
      </c>
      <c r="D69" s="12">
        <v>9</v>
      </c>
      <c r="E69" s="12">
        <v>40</v>
      </c>
      <c r="F69" s="12">
        <v>15</v>
      </c>
      <c r="G69" s="12">
        <v>60</v>
      </c>
      <c r="H69" s="12">
        <v>4825</v>
      </c>
      <c r="I69" s="12">
        <v>4262.36111329642</v>
      </c>
      <c r="J69" s="12">
        <v>562.638886703577</v>
      </c>
    </row>
    <row r="70" spans="2:10">
      <c r="B70" s="11" t="s">
        <v>96</v>
      </c>
      <c r="C70" s="12">
        <v>1</v>
      </c>
      <c r="D70" s="12">
        <v>9</v>
      </c>
      <c r="E70" s="12">
        <v>45</v>
      </c>
      <c r="F70" s="12">
        <v>15</v>
      </c>
      <c r="G70" s="12">
        <v>60</v>
      </c>
      <c r="H70" s="12">
        <v>4865</v>
      </c>
      <c r="I70" s="12">
        <v>4453.42664758774</v>
      </c>
      <c r="J70" s="12">
        <v>411.573352412262</v>
      </c>
    </row>
    <row r="71" spans="2:10">
      <c r="B71" s="11" t="s">
        <v>97</v>
      </c>
      <c r="C71" s="12">
        <v>1</v>
      </c>
      <c r="D71" s="12">
        <v>9</v>
      </c>
      <c r="E71" s="12">
        <v>50</v>
      </c>
      <c r="F71" s="12">
        <v>15</v>
      </c>
      <c r="G71" s="12">
        <v>60</v>
      </c>
      <c r="H71" s="12">
        <v>4884</v>
      </c>
      <c r="I71" s="12">
        <v>4631.58669648217</v>
      </c>
      <c r="J71" s="12">
        <v>252.413303517834</v>
      </c>
    </row>
    <row r="72" spans="2:10">
      <c r="B72" s="11" t="s">
        <v>98</v>
      </c>
      <c r="C72" s="12">
        <v>1</v>
      </c>
      <c r="D72" s="12">
        <v>9</v>
      </c>
      <c r="E72" s="12">
        <v>55</v>
      </c>
      <c r="F72" s="12">
        <v>15</v>
      </c>
      <c r="G72" s="12">
        <v>60</v>
      </c>
      <c r="H72" s="12">
        <v>5510</v>
      </c>
      <c r="I72" s="12">
        <v>4798.88427421617</v>
      </c>
      <c r="J72" s="12">
        <v>711.115725783832</v>
      </c>
    </row>
    <row r="73" spans="2:10">
      <c r="B73" s="11" t="s">
        <v>99</v>
      </c>
      <c r="C73" s="12">
        <v>1</v>
      </c>
      <c r="D73" s="12">
        <v>9</v>
      </c>
      <c r="E73" s="12">
        <v>70</v>
      </c>
      <c r="F73" s="12">
        <v>15</v>
      </c>
      <c r="G73" s="12">
        <v>60</v>
      </c>
      <c r="H73" s="12">
        <v>5642</v>
      </c>
      <c r="I73" s="12">
        <v>5249.68450086011</v>
      </c>
      <c r="J73" s="12">
        <v>392.315499139888</v>
      </c>
    </row>
    <row r="74" spans="2:10">
      <c r="B74" s="11" t="s">
        <v>100</v>
      </c>
      <c r="C74" s="12">
        <v>1</v>
      </c>
      <c r="D74" s="12">
        <v>9</v>
      </c>
      <c r="E74" s="12">
        <v>75</v>
      </c>
      <c r="F74" s="12">
        <v>15</v>
      </c>
      <c r="G74" s="12">
        <v>60</v>
      </c>
      <c r="H74" s="12">
        <v>5675</v>
      </c>
      <c r="I74" s="12">
        <v>5386.27470481637</v>
      </c>
      <c r="J74" s="12">
        <v>288.72529518363</v>
      </c>
    </row>
    <row r="75" spans="2:10">
      <c r="B75" s="11" t="s">
        <v>101</v>
      </c>
      <c r="C75" s="12">
        <v>1</v>
      </c>
      <c r="D75" s="12">
        <v>9</v>
      </c>
      <c r="E75" s="12">
        <v>80</v>
      </c>
      <c r="F75" s="12">
        <v>15</v>
      </c>
      <c r="G75" s="12">
        <v>60</v>
      </c>
      <c r="H75" s="12">
        <v>5685</v>
      </c>
      <c r="I75" s="12">
        <v>5517.2616576578</v>
      </c>
      <c r="J75" s="12">
        <v>167.738342342197</v>
      </c>
    </row>
    <row r="76" spans="2:10">
      <c r="B76" s="11" t="s">
        <v>102</v>
      </c>
      <c r="C76" s="12">
        <v>1</v>
      </c>
      <c r="D76" s="12">
        <v>9</v>
      </c>
      <c r="E76" s="12">
        <v>85</v>
      </c>
      <c r="F76" s="12">
        <v>15</v>
      </c>
      <c r="G76" s="12">
        <v>60</v>
      </c>
      <c r="H76" s="12">
        <v>5698</v>
      </c>
      <c r="I76" s="12">
        <v>5643.20508587503</v>
      </c>
      <c r="J76" s="12">
        <v>54.7949141249737</v>
      </c>
    </row>
    <row r="77" spans="2:10">
      <c r="B77" s="11" t="s">
        <v>103</v>
      </c>
      <c r="C77" s="12">
        <v>1</v>
      </c>
      <c r="D77" s="12">
        <v>9</v>
      </c>
      <c r="E77" s="12">
        <v>90</v>
      </c>
      <c r="F77" s="12">
        <v>15</v>
      </c>
      <c r="G77" s="12">
        <v>60</v>
      </c>
      <c r="H77" s="12">
        <v>5758</v>
      </c>
      <c r="I77" s="12">
        <v>5764.579639036</v>
      </c>
      <c r="J77" s="12">
        <v>-6.57963903599648</v>
      </c>
    </row>
    <row r="78" spans="2:10">
      <c r="B78" s="11" t="s">
        <v>104</v>
      </c>
      <c r="C78" s="12">
        <v>1</v>
      </c>
      <c r="D78" s="12">
        <v>9</v>
      </c>
      <c r="E78" s="12">
        <v>105</v>
      </c>
      <c r="F78" s="12">
        <v>15</v>
      </c>
      <c r="G78" s="12">
        <v>60</v>
      </c>
      <c r="H78" s="12">
        <v>5852</v>
      </c>
      <c r="I78" s="12">
        <v>6105.08767043615</v>
      </c>
      <c r="J78" s="12">
        <v>-253.087670436149</v>
      </c>
    </row>
    <row r="79" spans="2:10">
      <c r="B79" s="11" t="s">
        <v>105</v>
      </c>
      <c r="C79" s="12">
        <v>1</v>
      </c>
      <c r="D79" s="12">
        <v>9</v>
      </c>
      <c r="E79" s="12">
        <v>110</v>
      </c>
      <c r="F79" s="12">
        <v>15</v>
      </c>
      <c r="G79" s="12">
        <v>60</v>
      </c>
      <c r="H79" s="12">
        <v>5859</v>
      </c>
      <c r="I79" s="12">
        <v>6211.74496995946</v>
      </c>
      <c r="J79" s="12">
        <v>-352.744969959458</v>
      </c>
    </row>
    <row r="80" spans="2:10">
      <c r="B80" s="11" t="s">
        <v>106</v>
      </c>
      <c r="C80" s="12">
        <v>1</v>
      </c>
      <c r="D80" s="12">
        <v>9</v>
      </c>
      <c r="E80" s="12">
        <v>10</v>
      </c>
      <c r="F80" s="12">
        <v>45</v>
      </c>
      <c r="G80" s="12">
        <v>60</v>
      </c>
      <c r="H80" s="12">
        <v>944</v>
      </c>
      <c r="I80" s="12">
        <v>1287.55077870771</v>
      </c>
      <c r="J80" s="12">
        <v>-343.550778707707</v>
      </c>
    </row>
    <row r="81" spans="2:10">
      <c r="B81" s="11" t="s">
        <v>107</v>
      </c>
      <c r="C81" s="12">
        <v>1</v>
      </c>
      <c r="D81" s="12">
        <v>9</v>
      </c>
      <c r="E81" s="12">
        <v>15</v>
      </c>
      <c r="F81" s="12">
        <v>45</v>
      </c>
      <c r="G81" s="12">
        <v>60</v>
      </c>
      <c r="H81" s="12">
        <v>975</v>
      </c>
      <c r="I81" s="12">
        <v>1497.34910409587</v>
      </c>
      <c r="J81" s="12">
        <v>-522.349104095873</v>
      </c>
    </row>
    <row r="82" spans="2:10">
      <c r="B82" s="11" t="s">
        <v>108</v>
      </c>
      <c r="C82" s="12">
        <v>1</v>
      </c>
      <c r="D82" s="12">
        <v>9</v>
      </c>
      <c r="E82" s="12">
        <v>20</v>
      </c>
      <c r="F82" s="12">
        <v>45</v>
      </c>
      <c r="G82" s="12">
        <v>60</v>
      </c>
      <c r="H82" s="12">
        <v>987</v>
      </c>
      <c r="I82" s="12">
        <v>1666.62428518582</v>
      </c>
      <c r="J82" s="12">
        <v>-679.624285185816</v>
      </c>
    </row>
    <row r="83" spans="2:10">
      <c r="B83" s="11" t="s">
        <v>109</v>
      </c>
      <c r="C83" s="12">
        <v>1</v>
      </c>
      <c r="D83" s="12">
        <v>9</v>
      </c>
      <c r="E83" s="12">
        <v>30</v>
      </c>
      <c r="F83" s="12">
        <v>45</v>
      </c>
      <c r="G83" s="12">
        <v>60</v>
      </c>
      <c r="H83" s="12">
        <v>1075</v>
      </c>
      <c r="I83" s="12">
        <v>1938.19026135196</v>
      </c>
      <c r="J83" s="12">
        <v>-863.19026135196</v>
      </c>
    </row>
    <row r="84" spans="2:10">
      <c r="B84" s="11" t="s">
        <v>110</v>
      </c>
      <c r="C84" s="12">
        <v>1</v>
      </c>
      <c r="D84" s="12">
        <v>9</v>
      </c>
      <c r="E84" s="12">
        <v>35</v>
      </c>
      <c r="F84" s="12">
        <v>45</v>
      </c>
      <c r="G84" s="12">
        <v>60</v>
      </c>
      <c r="H84" s="12">
        <v>1220</v>
      </c>
      <c r="I84" s="12">
        <v>2052.67724768879</v>
      </c>
      <c r="J84" s="12">
        <v>-832.677247688794</v>
      </c>
    </row>
    <row r="85" spans="2:10">
      <c r="B85" s="11" t="s">
        <v>111</v>
      </c>
      <c r="C85" s="12">
        <v>1</v>
      </c>
      <c r="D85" s="12">
        <v>9</v>
      </c>
      <c r="E85" s="12">
        <v>50</v>
      </c>
      <c r="F85" s="12">
        <v>45</v>
      </c>
      <c r="G85" s="12">
        <v>60</v>
      </c>
      <c r="H85" s="12">
        <v>2140</v>
      </c>
      <c r="I85" s="12">
        <v>2344.1780911551</v>
      </c>
      <c r="J85" s="12">
        <v>-204.178091155102</v>
      </c>
    </row>
    <row r="86" spans="2:10">
      <c r="B86" s="11" t="s">
        <v>112</v>
      </c>
      <c r="C86" s="12">
        <v>1</v>
      </c>
      <c r="D86" s="12">
        <v>9</v>
      </c>
      <c r="E86" s="12">
        <v>55</v>
      </c>
      <c r="F86" s="12">
        <v>45</v>
      </c>
      <c r="G86" s="12">
        <v>60</v>
      </c>
      <c r="H86" s="12">
        <v>2156</v>
      </c>
      <c r="I86" s="12">
        <v>2428.85216553338</v>
      </c>
      <c r="J86" s="12">
        <v>-272.852165533378</v>
      </c>
    </row>
    <row r="87" spans="2:10">
      <c r="B87" s="11" t="s">
        <v>113</v>
      </c>
      <c r="C87" s="12">
        <v>1</v>
      </c>
      <c r="D87" s="12">
        <v>9</v>
      </c>
      <c r="E87" s="12">
        <v>60</v>
      </c>
      <c r="F87" s="12">
        <v>45</v>
      </c>
      <c r="G87" s="12">
        <v>60</v>
      </c>
      <c r="H87" s="12">
        <v>2210</v>
      </c>
      <c r="I87" s="12">
        <v>2508.8214090647</v>
      </c>
      <c r="J87" s="12">
        <v>-298.821409064702</v>
      </c>
    </row>
    <row r="88" spans="2:10">
      <c r="B88" s="11" t="s">
        <v>114</v>
      </c>
      <c r="C88" s="12">
        <v>1</v>
      </c>
      <c r="D88" s="12">
        <v>9</v>
      </c>
      <c r="E88" s="12">
        <v>65</v>
      </c>
      <c r="F88" s="12">
        <v>45</v>
      </c>
      <c r="G88" s="12">
        <v>60</v>
      </c>
      <c r="H88" s="12">
        <v>2275</v>
      </c>
      <c r="I88" s="12">
        <v>2584.70905642568</v>
      </c>
      <c r="J88" s="12">
        <v>-309.709056425679</v>
      </c>
    </row>
    <row r="89" spans="2:10">
      <c r="B89" s="11" t="s">
        <v>115</v>
      </c>
      <c r="C89" s="12">
        <v>1</v>
      </c>
      <c r="D89" s="12">
        <v>9</v>
      </c>
      <c r="E89" s="12">
        <v>70</v>
      </c>
      <c r="F89" s="12">
        <v>45</v>
      </c>
      <c r="G89" s="12">
        <v>60</v>
      </c>
      <c r="H89" s="12">
        <v>2310</v>
      </c>
      <c r="I89" s="12">
        <v>2657.01501425844</v>
      </c>
      <c r="J89" s="12">
        <v>-347.015014258443</v>
      </c>
    </row>
    <row r="90" spans="2:10">
      <c r="B90" s="11" t="s">
        <v>116</v>
      </c>
      <c r="C90" s="12">
        <v>1</v>
      </c>
      <c r="D90" s="12">
        <v>9</v>
      </c>
      <c r="E90" s="12">
        <v>75</v>
      </c>
      <c r="F90" s="12">
        <v>45</v>
      </c>
      <c r="G90" s="12">
        <v>60</v>
      </c>
      <c r="H90" s="12">
        <v>2321</v>
      </c>
      <c r="I90" s="12">
        <v>2726.14721118436</v>
      </c>
      <c r="J90" s="12">
        <v>-405.147211184362</v>
      </c>
    </row>
    <row r="91" spans="2:10">
      <c r="B91" s="11" t="s">
        <v>117</v>
      </c>
      <c r="C91" s="12">
        <v>1</v>
      </c>
      <c r="D91" s="12">
        <v>9</v>
      </c>
      <c r="E91" s="12">
        <v>80</v>
      </c>
      <c r="F91" s="12">
        <v>45</v>
      </c>
      <c r="G91" s="12">
        <v>60</v>
      </c>
      <c r="H91" s="12">
        <v>2776</v>
      </c>
      <c r="I91" s="12">
        <v>2792.44344295117</v>
      </c>
      <c r="J91" s="12">
        <v>-16.4434429511712</v>
      </c>
    </row>
    <row r="92" spans="2:10">
      <c r="B92" s="11" t="s">
        <v>118</v>
      </c>
      <c r="C92" s="12">
        <v>1</v>
      </c>
      <c r="D92" s="12">
        <v>9</v>
      </c>
      <c r="E92" s="12">
        <v>85</v>
      </c>
      <c r="F92" s="12">
        <v>45</v>
      </c>
      <c r="G92" s="12">
        <v>60</v>
      </c>
      <c r="H92" s="12">
        <v>3202</v>
      </c>
      <c r="I92" s="12">
        <v>2856.18700309569</v>
      </c>
      <c r="J92" s="12">
        <v>345.812996904306</v>
      </c>
    </row>
    <row r="93" spans="2:10">
      <c r="B93" s="11" t="s">
        <v>119</v>
      </c>
      <c r="C93" s="12">
        <v>1</v>
      </c>
      <c r="D93" s="12">
        <v>9</v>
      </c>
      <c r="E93" s="12">
        <v>100</v>
      </c>
      <c r="F93" s="12">
        <v>45</v>
      </c>
      <c r="G93" s="12">
        <v>60</v>
      </c>
      <c r="H93" s="12">
        <v>3288</v>
      </c>
      <c r="I93" s="12">
        <v>3034.33790738792</v>
      </c>
      <c r="J93" s="12">
        <v>253.662092612082</v>
      </c>
    </row>
    <row r="94" spans="2:10">
      <c r="B94" s="11" t="s">
        <v>120</v>
      </c>
      <c r="C94" s="12">
        <v>1</v>
      </c>
      <c r="D94" s="12">
        <v>9</v>
      </c>
      <c r="E94" s="12">
        <v>105</v>
      </c>
      <c r="F94" s="12">
        <v>45</v>
      </c>
      <c r="G94" s="12">
        <v>60</v>
      </c>
      <c r="H94" s="12">
        <v>3334</v>
      </c>
      <c r="I94" s="12">
        <v>3089.95894916261</v>
      </c>
      <c r="J94" s="12">
        <v>244.04105083739</v>
      </c>
    </row>
    <row r="95" spans="2:10">
      <c r="B95" s="11" t="s">
        <v>121</v>
      </c>
      <c r="C95" s="12">
        <v>1</v>
      </c>
      <c r="D95" s="12">
        <v>9</v>
      </c>
      <c r="E95" s="12">
        <v>110</v>
      </c>
      <c r="F95" s="12">
        <v>45</v>
      </c>
      <c r="G95" s="12">
        <v>60</v>
      </c>
      <c r="H95" s="12">
        <v>3323</v>
      </c>
      <c r="I95" s="12">
        <v>3143.94124965462</v>
      </c>
      <c r="J95" s="12">
        <v>179.058750345377</v>
      </c>
    </row>
    <row r="96" spans="2:10">
      <c r="B96" s="11" t="s">
        <v>122</v>
      </c>
      <c r="C96" s="12">
        <v>1</v>
      </c>
      <c r="D96" s="12">
        <v>18</v>
      </c>
      <c r="E96" s="12">
        <v>10</v>
      </c>
      <c r="F96" s="12">
        <v>15</v>
      </c>
      <c r="G96" s="12">
        <v>60</v>
      </c>
      <c r="H96" s="12">
        <v>4205</v>
      </c>
      <c r="I96" s="12">
        <v>4546.06496479233</v>
      </c>
      <c r="J96" s="12">
        <v>-341.064964792326</v>
      </c>
    </row>
    <row r="97" spans="2:10">
      <c r="B97" s="11" t="s">
        <v>123</v>
      </c>
      <c r="C97" s="12">
        <v>1</v>
      </c>
      <c r="D97" s="12">
        <v>18</v>
      </c>
      <c r="E97" s="12">
        <v>15</v>
      </c>
      <c r="F97" s="12">
        <v>15</v>
      </c>
      <c r="G97" s="12">
        <v>60</v>
      </c>
      <c r="H97" s="12">
        <v>5201</v>
      </c>
      <c r="I97" s="12">
        <v>5286.81774323926</v>
      </c>
      <c r="J97" s="12">
        <v>-85.8177432392595</v>
      </c>
    </row>
    <row r="98" spans="2:10">
      <c r="B98" s="11" t="s">
        <v>124</v>
      </c>
      <c r="C98" s="12">
        <v>1</v>
      </c>
      <c r="D98" s="12">
        <v>18</v>
      </c>
      <c r="E98" s="12">
        <v>20</v>
      </c>
      <c r="F98" s="12">
        <v>15</v>
      </c>
      <c r="G98" s="12">
        <v>60</v>
      </c>
      <c r="H98" s="12">
        <v>5789</v>
      </c>
      <c r="I98" s="12">
        <v>5884.49201200421</v>
      </c>
      <c r="J98" s="12">
        <v>-95.492012004207</v>
      </c>
    </row>
    <row r="99" spans="2:10">
      <c r="B99" s="11" t="s">
        <v>125</v>
      </c>
      <c r="C99" s="12">
        <v>1</v>
      </c>
      <c r="D99" s="12">
        <v>18</v>
      </c>
      <c r="E99" s="12">
        <v>30</v>
      </c>
      <c r="F99" s="12">
        <v>15</v>
      </c>
      <c r="G99" s="12">
        <v>60</v>
      </c>
      <c r="H99" s="12">
        <v>7422</v>
      </c>
      <c r="I99" s="12">
        <v>6843.33308475602</v>
      </c>
      <c r="J99" s="12">
        <v>578.666915243978</v>
      </c>
    </row>
    <row r="100" spans="2:10">
      <c r="B100" s="11" t="s">
        <v>126</v>
      </c>
      <c r="C100" s="12">
        <v>1</v>
      </c>
      <c r="D100" s="12">
        <v>18</v>
      </c>
      <c r="E100" s="12">
        <v>35</v>
      </c>
      <c r="F100" s="12">
        <v>15</v>
      </c>
      <c r="G100" s="12">
        <v>60</v>
      </c>
      <c r="H100" s="12">
        <v>8731</v>
      </c>
      <c r="I100" s="12">
        <v>7247.56201779501</v>
      </c>
      <c r="J100" s="12">
        <v>1483.43798220499</v>
      </c>
    </row>
    <row r="101" spans="2:10">
      <c r="B101" s="11" t="s">
        <v>127</v>
      </c>
      <c r="C101" s="12">
        <v>1</v>
      </c>
      <c r="D101" s="12">
        <v>18</v>
      </c>
      <c r="E101" s="12">
        <v>40</v>
      </c>
      <c r="F101" s="12">
        <v>15</v>
      </c>
      <c r="G101" s="12">
        <v>60</v>
      </c>
      <c r="H101" s="12">
        <v>8810</v>
      </c>
      <c r="I101" s="12">
        <v>7616.9712724119</v>
      </c>
      <c r="J101" s="12">
        <v>1193.0287275881</v>
      </c>
    </row>
    <row r="102" spans="2:10">
      <c r="B102" s="11" t="s">
        <v>128</v>
      </c>
      <c r="C102" s="12">
        <v>1</v>
      </c>
      <c r="D102" s="12">
        <v>18</v>
      </c>
      <c r="E102" s="12">
        <v>50</v>
      </c>
      <c r="F102" s="12">
        <v>15</v>
      </c>
      <c r="G102" s="12">
        <v>60</v>
      </c>
      <c r="H102" s="12">
        <v>8884</v>
      </c>
      <c r="I102" s="12">
        <v>8276.78882081063</v>
      </c>
      <c r="J102" s="12">
        <v>607.211179189375</v>
      </c>
    </row>
    <row r="103" spans="2:10">
      <c r="B103" s="11" t="s">
        <v>129</v>
      </c>
      <c r="C103" s="12">
        <v>1</v>
      </c>
      <c r="D103" s="12">
        <v>18</v>
      </c>
      <c r="E103" s="12">
        <v>55</v>
      </c>
      <c r="F103" s="12">
        <v>15</v>
      </c>
      <c r="G103" s="12">
        <v>60</v>
      </c>
      <c r="H103" s="12">
        <v>9510</v>
      </c>
      <c r="I103" s="12">
        <v>8575.75477176415</v>
      </c>
      <c r="J103" s="12">
        <v>934.24522823585</v>
      </c>
    </row>
    <row r="104" spans="2:10">
      <c r="B104" s="11" t="s">
        <v>130</v>
      </c>
      <c r="C104" s="12">
        <v>1</v>
      </c>
      <c r="D104" s="12">
        <v>18</v>
      </c>
      <c r="E104" s="12">
        <v>65</v>
      </c>
      <c r="F104" s="12">
        <v>15</v>
      </c>
      <c r="G104" s="12">
        <v>60</v>
      </c>
      <c r="H104" s="12">
        <v>9584</v>
      </c>
      <c r="I104" s="12">
        <v>9126.05194289249</v>
      </c>
      <c r="J104" s="12">
        <v>457.948057107506</v>
      </c>
    </row>
    <row r="105" spans="2:10">
      <c r="B105" s="11" t="s">
        <v>131</v>
      </c>
      <c r="C105" s="12">
        <v>1</v>
      </c>
      <c r="D105" s="12">
        <v>18</v>
      </c>
      <c r="E105" s="12">
        <v>75</v>
      </c>
      <c r="F105" s="12">
        <v>15</v>
      </c>
      <c r="G105" s="12">
        <v>60</v>
      </c>
      <c r="H105" s="12">
        <v>9675</v>
      </c>
      <c r="I105" s="12">
        <v>9625.43965688905</v>
      </c>
      <c r="J105" s="12">
        <v>49.5603431109503</v>
      </c>
    </row>
    <row r="106" spans="2:10">
      <c r="B106" s="11" t="s">
        <v>132</v>
      </c>
      <c r="C106" s="12">
        <v>1</v>
      </c>
      <c r="D106" s="12">
        <v>18</v>
      </c>
      <c r="E106" s="12">
        <v>80</v>
      </c>
      <c r="F106" s="12">
        <v>15</v>
      </c>
      <c r="G106" s="12">
        <v>60</v>
      </c>
      <c r="H106" s="12">
        <v>9688</v>
      </c>
      <c r="I106" s="12">
        <v>9859.51739698047</v>
      </c>
      <c r="J106" s="12">
        <v>-171.517396980467</v>
      </c>
    </row>
    <row r="107" spans="2:10">
      <c r="B107" s="11" t="s">
        <v>133</v>
      </c>
      <c r="C107" s="12">
        <v>1</v>
      </c>
      <c r="D107" s="12">
        <v>18</v>
      </c>
      <c r="E107" s="12">
        <v>85</v>
      </c>
      <c r="F107" s="12">
        <v>15</v>
      </c>
      <c r="G107" s="12">
        <v>60</v>
      </c>
      <c r="H107" s="12">
        <v>9698</v>
      </c>
      <c r="I107" s="12">
        <v>10084.5822024206</v>
      </c>
      <c r="J107" s="12">
        <v>-386.582202420603</v>
      </c>
    </row>
    <row r="108" spans="2:10">
      <c r="B108" s="11" t="s">
        <v>134</v>
      </c>
      <c r="C108" s="12">
        <v>1</v>
      </c>
      <c r="D108" s="12">
        <v>18</v>
      </c>
      <c r="E108" s="12">
        <v>95</v>
      </c>
      <c r="F108" s="12">
        <v>15</v>
      </c>
      <c r="G108" s="12">
        <v>60</v>
      </c>
      <c r="H108" s="12">
        <v>9841</v>
      </c>
      <c r="I108" s="12">
        <v>10510.9439972029</v>
      </c>
      <c r="J108" s="12">
        <v>-669.94399720291</v>
      </c>
    </row>
    <row r="109" spans="2:10">
      <c r="B109" s="11" t="s">
        <v>135</v>
      </c>
      <c r="C109" s="12">
        <v>1</v>
      </c>
      <c r="D109" s="12">
        <v>18</v>
      </c>
      <c r="E109" s="12">
        <v>100</v>
      </c>
      <c r="F109" s="12">
        <v>15</v>
      </c>
      <c r="G109" s="12">
        <v>60</v>
      </c>
      <c r="H109" s="12">
        <v>9846</v>
      </c>
      <c r="I109" s="12">
        <v>10713.5947414537</v>
      </c>
      <c r="J109" s="12">
        <v>-867.594741453682</v>
      </c>
    </row>
    <row r="110" spans="2:10">
      <c r="B110" s="11" t="s">
        <v>136</v>
      </c>
      <c r="C110" s="12">
        <v>1</v>
      </c>
      <c r="D110" s="12">
        <v>18</v>
      </c>
      <c r="E110" s="12">
        <v>105</v>
      </c>
      <c r="F110" s="12">
        <v>15</v>
      </c>
      <c r="G110" s="12">
        <v>60</v>
      </c>
      <c r="H110" s="12">
        <v>9852</v>
      </c>
      <c r="I110" s="12">
        <v>10909.9806809434</v>
      </c>
      <c r="J110" s="12">
        <v>-1057.98068094336</v>
      </c>
    </row>
    <row r="111" spans="2:10">
      <c r="B111" s="11" t="s">
        <v>137</v>
      </c>
      <c r="C111" s="12">
        <v>1</v>
      </c>
      <c r="D111" s="12">
        <v>18</v>
      </c>
      <c r="E111" s="12">
        <v>110</v>
      </c>
      <c r="F111" s="12">
        <v>15</v>
      </c>
      <c r="G111" s="12">
        <v>60</v>
      </c>
      <c r="H111" s="12">
        <v>9859</v>
      </c>
      <c r="I111" s="12">
        <v>11100.5805773078</v>
      </c>
      <c r="J111" s="12">
        <v>-1241.58057730779</v>
      </c>
    </row>
    <row r="112" spans="2:10">
      <c r="B112" s="11" t="s">
        <v>138</v>
      </c>
      <c r="C112" s="12">
        <v>1</v>
      </c>
      <c r="D112" s="12">
        <v>18</v>
      </c>
      <c r="E112" s="12">
        <v>15</v>
      </c>
      <c r="F112" s="12">
        <v>45</v>
      </c>
      <c r="G112" s="12">
        <v>60</v>
      </c>
      <c r="H112" s="12">
        <v>975</v>
      </c>
      <c r="I112" s="12">
        <v>2675.80920703581</v>
      </c>
      <c r="J112" s="12">
        <v>-1700.80920703581</v>
      </c>
    </row>
    <row r="113" spans="2:10">
      <c r="B113" s="11" t="s">
        <v>139</v>
      </c>
      <c r="C113" s="12">
        <v>1</v>
      </c>
      <c r="D113" s="12">
        <v>18</v>
      </c>
      <c r="E113" s="12">
        <v>20</v>
      </c>
      <c r="F113" s="12">
        <v>45</v>
      </c>
      <c r="G113" s="12">
        <v>60</v>
      </c>
      <c r="H113" s="12">
        <v>1040</v>
      </c>
      <c r="I113" s="12">
        <v>2978.30919641311</v>
      </c>
      <c r="J113" s="12">
        <v>-1938.30919641311</v>
      </c>
    </row>
    <row r="114" spans="2:10">
      <c r="B114" s="11" t="s">
        <v>140</v>
      </c>
      <c r="C114" s="12">
        <v>1</v>
      </c>
      <c r="D114" s="12">
        <v>18</v>
      </c>
      <c r="E114" s="12">
        <v>35</v>
      </c>
      <c r="F114" s="12">
        <v>45</v>
      </c>
      <c r="G114" s="12">
        <v>60</v>
      </c>
      <c r="H114" s="12">
        <v>2220</v>
      </c>
      <c r="I114" s="12">
        <v>3668.1977926284</v>
      </c>
      <c r="J114" s="12">
        <v>-1448.1977926284</v>
      </c>
    </row>
    <row r="115" spans="2:10">
      <c r="B115" s="11" t="s">
        <v>141</v>
      </c>
      <c r="C115" s="12">
        <v>1</v>
      </c>
      <c r="D115" s="12">
        <v>18</v>
      </c>
      <c r="E115" s="12">
        <v>40</v>
      </c>
      <c r="F115" s="12">
        <v>45</v>
      </c>
      <c r="G115" s="12">
        <v>60</v>
      </c>
      <c r="H115" s="12">
        <v>2678</v>
      </c>
      <c r="I115" s="12">
        <v>3855.16634964592</v>
      </c>
      <c r="J115" s="12">
        <v>-1177.16634964592</v>
      </c>
    </row>
    <row r="116" spans="2:10">
      <c r="B116" s="11" t="s">
        <v>142</v>
      </c>
      <c r="C116" s="12">
        <v>1</v>
      </c>
      <c r="D116" s="12">
        <v>18</v>
      </c>
      <c r="E116" s="12">
        <v>45</v>
      </c>
      <c r="F116" s="12">
        <v>45</v>
      </c>
      <c r="G116" s="12">
        <v>60</v>
      </c>
      <c r="H116" s="12">
        <v>3145</v>
      </c>
      <c r="I116" s="12">
        <v>4027.97888213624</v>
      </c>
      <c r="J116" s="12">
        <v>-882.978882136237</v>
      </c>
    </row>
    <row r="117" spans="2:10">
      <c r="B117" s="11" t="s">
        <v>143</v>
      </c>
      <c r="C117" s="12">
        <v>1</v>
      </c>
      <c r="D117" s="12">
        <v>18</v>
      </c>
      <c r="E117" s="12">
        <v>50</v>
      </c>
      <c r="F117" s="12">
        <v>45</v>
      </c>
      <c r="G117" s="12">
        <v>60</v>
      </c>
      <c r="H117" s="12">
        <v>4340</v>
      </c>
      <c r="I117" s="12">
        <v>4189.11882478598</v>
      </c>
      <c r="J117" s="12">
        <v>150.881175214023</v>
      </c>
    </row>
    <row r="118" spans="2:10">
      <c r="B118" s="11" t="s">
        <v>144</v>
      </c>
      <c r="C118" s="12">
        <v>1</v>
      </c>
      <c r="D118" s="12">
        <v>18</v>
      </c>
      <c r="E118" s="12">
        <v>55</v>
      </c>
      <c r="F118" s="12">
        <v>45</v>
      </c>
      <c r="G118" s="12">
        <v>60</v>
      </c>
      <c r="H118" s="12">
        <v>4356</v>
      </c>
      <c r="I118" s="12">
        <v>4340.43401721429</v>
      </c>
      <c r="J118" s="12">
        <v>15.5659827857125</v>
      </c>
    </row>
    <row r="119" spans="2:10">
      <c r="B119" s="11" t="s">
        <v>145</v>
      </c>
      <c r="C119" s="12">
        <v>1</v>
      </c>
      <c r="D119" s="12">
        <v>18</v>
      </c>
      <c r="E119" s="12">
        <v>70</v>
      </c>
      <c r="F119" s="12">
        <v>45</v>
      </c>
      <c r="G119" s="12">
        <v>60</v>
      </c>
      <c r="H119" s="12">
        <v>5310</v>
      </c>
      <c r="I119" s="12">
        <v>4748.16809182122</v>
      </c>
      <c r="J119" s="12">
        <v>561.83190817878</v>
      </c>
    </row>
    <row r="120" spans="2:10">
      <c r="B120" s="11" t="s">
        <v>146</v>
      </c>
      <c r="C120" s="12">
        <v>1</v>
      </c>
      <c r="D120" s="12">
        <v>18</v>
      </c>
      <c r="E120" s="12">
        <v>75</v>
      </c>
      <c r="F120" s="12">
        <v>45</v>
      </c>
      <c r="G120" s="12">
        <v>60</v>
      </c>
      <c r="H120" s="12">
        <v>5321</v>
      </c>
      <c r="I120" s="12">
        <v>4871.70946806473</v>
      </c>
      <c r="J120" s="12">
        <v>449.290531935275</v>
      </c>
    </row>
    <row r="121" spans="2:10">
      <c r="B121" s="11" t="s">
        <v>147</v>
      </c>
      <c r="C121" s="12">
        <v>1</v>
      </c>
      <c r="D121" s="12">
        <v>18</v>
      </c>
      <c r="E121" s="12">
        <v>85</v>
      </c>
      <c r="F121" s="12">
        <v>45</v>
      </c>
      <c r="G121" s="12">
        <v>60</v>
      </c>
      <c r="H121" s="12">
        <v>6265</v>
      </c>
      <c r="I121" s="12">
        <v>5104.09460224989</v>
      </c>
      <c r="J121" s="12">
        <v>1160.90539775011</v>
      </c>
    </row>
    <row r="122" spans="2:10">
      <c r="B122" s="11" t="s">
        <v>148</v>
      </c>
      <c r="C122" s="12">
        <v>1</v>
      </c>
      <c r="D122" s="12">
        <v>18</v>
      </c>
      <c r="E122" s="12">
        <v>95</v>
      </c>
      <c r="F122" s="12">
        <v>45</v>
      </c>
      <c r="G122" s="12">
        <v>60</v>
      </c>
      <c r="H122" s="12">
        <v>6347</v>
      </c>
      <c r="I122" s="12">
        <v>5319.8884637776</v>
      </c>
      <c r="J122" s="12">
        <v>1027.1115362224</v>
      </c>
    </row>
    <row r="123" spans="2:10">
      <c r="B123" s="11" t="s">
        <v>149</v>
      </c>
      <c r="C123" s="12">
        <v>1</v>
      </c>
      <c r="D123" s="12">
        <v>18</v>
      </c>
      <c r="E123" s="12">
        <v>100</v>
      </c>
      <c r="F123" s="12">
        <v>45</v>
      </c>
      <c r="G123" s="12">
        <v>60</v>
      </c>
      <c r="H123" s="12">
        <v>6397</v>
      </c>
      <c r="I123" s="12">
        <v>5422.45578378259</v>
      </c>
      <c r="J123" s="12">
        <v>974.544216217409</v>
      </c>
    </row>
    <row r="124" spans="2:10">
      <c r="B124" s="11" t="s">
        <v>150</v>
      </c>
      <c r="C124" s="12">
        <v>1</v>
      </c>
      <c r="D124" s="12">
        <v>18</v>
      </c>
      <c r="E124" s="12">
        <v>105</v>
      </c>
      <c r="F124" s="12">
        <v>45</v>
      </c>
      <c r="G124" s="12">
        <v>60</v>
      </c>
      <c r="H124" s="12">
        <v>6434</v>
      </c>
      <c r="I124" s="12">
        <v>5521.8523074647</v>
      </c>
      <c r="J124" s="12">
        <v>912.147692535304</v>
      </c>
    </row>
    <row r="125" spans="2:10">
      <c r="B125" s="11" t="s">
        <v>151</v>
      </c>
      <c r="C125" s="12">
        <v>1</v>
      </c>
      <c r="D125" s="12">
        <v>18</v>
      </c>
      <c r="E125" s="12">
        <v>110</v>
      </c>
      <c r="F125" s="12">
        <v>45</v>
      </c>
      <c r="G125" s="12">
        <v>60</v>
      </c>
      <c r="H125" s="12">
        <v>6456</v>
      </c>
      <c r="I125" s="12">
        <v>5618.32034973913</v>
      </c>
      <c r="J125" s="12">
        <v>837.679650260873</v>
      </c>
    </row>
    <row r="126" spans="2:10">
      <c r="B126" s="11" t="s">
        <v>152</v>
      </c>
      <c r="C126" s="12">
        <v>1</v>
      </c>
      <c r="D126" s="12">
        <v>18</v>
      </c>
      <c r="E126" s="12">
        <v>10</v>
      </c>
      <c r="F126" s="12">
        <v>15</v>
      </c>
      <c r="G126" s="12">
        <v>120</v>
      </c>
      <c r="H126" s="12">
        <v>4505</v>
      </c>
      <c r="I126" s="12">
        <v>4746.70013666682</v>
      </c>
      <c r="J126" s="12">
        <v>-241.700136666824</v>
      </c>
    </row>
    <row r="127" spans="2:10">
      <c r="B127" s="11" t="s">
        <v>153</v>
      </c>
      <c r="C127" s="12">
        <v>1</v>
      </c>
      <c r="D127" s="12">
        <v>18</v>
      </c>
      <c r="E127" s="12">
        <v>15</v>
      </c>
      <c r="F127" s="12">
        <v>15</v>
      </c>
      <c r="G127" s="12">
        <v>120</v>
      </c>
      <c r="H127" s="12">
        <v>5501</v>
      </c>
      <c r="I127" s="12">
        <v>5520.14515822318</v>
      </c>
      <c r="J127" s="12">
        <v>-19.1451582231775</v>
      </c>
    </row>
    <row r="128" spans="2:10">
      <c r="B128" s="11" t="s">
        <v>154</v>
      </c>
      <c r="C128" s="12">
        <v>1</v>
      </c>
      <c r="D128" s="12">
        <v>18</v>
      </c>
      <c r="E128" s="12">
        <v>25</v>
      </c>
      <c r="F128" s="12">
        <v>15</v>
      </c>
      <c r="G128" s="12">
        <v>120</v>
      </c>
      <c r="H128" s="12">
        <v>6602</v>
      </c>
      <c r="I128" s="12">
        <v>6676.43605374243</v>
      </c>
      <c r="J128" s="12">
        <v>-74.4360537424309</v>
      </c>
    </row>
    <row r="129" spans="2:10">
      <c r="B129" s="11" t="s">
        <v>155</v>
      </c>
      <c r="C129" s="12">
        <v>1</v>
      </c>
      <c r="D129" s="12">
        <v>18</v>
      </c>
      <c r="E129" s="12">
        <v>30</v>
      </c>
      <c r="F129" s="12">
        <v>15</v>
      </c>
      <c r="G129" s="12">
        <v>120</v>
      </c>
      <c r="H129" s="12">
        <v>7722</v>
      </c>
      <c r="I129" s="12">
        <v>7145.35545361524</v>
      </c>
      <c r="J129" s="12">
        <v>576.644546384764</v>
      </c>
    </row>
    <row r="130" spans="2:10">
      <c r="B130" s="11" t="s">
        <v>156</v>
      </c>
      <c r="C130" s="12">
        <v>1</v>
      </c>
      <c r="D130" s="12">
        <v>18</v>
      </c>
      <c r="E130" s="12">
        <v>35</v>
      </c>
      <c r="F130" s="12">
        <v>15</v>
      </c>
      <c r="G130" s="12">
        <v>120</v>
      </c>
      <c r="H130" s="12">
        <v>9031</v>
      </c>
      <c r="I130" s="12">
        <v>7567.424549979</v>
      </c>
      <c r="J130" s="12">
        <v>1463.575450021</v>
      </c>
    </row>
    <row r="131" spans="2:10">
      <c r="B131" s="11" t="s">
        <v>157</v>
      </c>
      <c r="C131" s="12">
        <v>1</v>
      </c>
      <c r="D131" s="12">
        <v>18</v>
      </c>
      <c r="E131" s="12">
        <v>40</v>
      </c>
      <c r="F131" s="12">
        <v>15</v>
      </c>
      <c r="G131" s="12">
        <v>120</v>
      </c>
      <c r="H131" s="12">
        <v>9117</v>
      </c>
      <c r="I131" s="12">
        <v>7953.13724281467</v>
      </c>
      <c r="J131" s="12">
        <v>1163.86275718533</v>
      </c>
    </row>
    <row r="132" spans="2:10">
      <c r="B132" s="11" t="s">
        <v>158</v>
      </c>
      <c r="C132" s="12">
        <v>1</v>
      </c>
      <c r="D132" s="12">
        <v>18</v>
      </c>
      <c r="E132" s="12">
        <v>55</v>
      </c>
      <c r="F132" s="12">
        <v>15</v>
      </c>
      <c r="G132" s="12">
        <v>120</v>
      </c>
      <c r="H132" s="12">
        <v>9810</v>
      </c>
      <c r="I132" s="12">
        <v>8954.23551190136</v>
      </c>
      <c r="J132" s="12">
        <v>855.764488098641</v>
      </c>
    </row>
    <row r="133" spans="2:10">
      <c r="B133" s="11" t="s">
        <v>159</v>
      </c>
      <c r="C133" s="12">
        <v>1</v>
      </c>
      <c r="D133" s="12">
        <v>18</v>
      </c>
      <c r="E133" s="12">
        <v>60</v>
      </c>
      <c r="F133" s="12">
        <v>15</v>
      </c>
      <c r="G133" s="12">
        <v>120</v>
      </c>
      <c r="H133" s="12">
        <v>9876</v>
      </c>
      <c r="I133" s="12">
        <v>9249.05108382021</v>
      </c>
      <c r="J133" s="12">
        <v>626.948916179786</v>
      </c>
    </row>
    <row r="134" spans="2:10">
      <c r="B134" s="11" t="s">
        <v>160</v>
      </c>
      <c r="C134" s="12">
        <v>1</v>
      </c>
      <c r="D134" s="12">
        <v>18</v>
      </c>
      <c r="E134" s="12">
        <v>65</v>
      </c>
      <c r="F134" s="12">
        <v>15</v>
      </c>
      <c r="G134" s="12">
        <v>120</v>
      </c>
      <c r="H134" s="12">
        <v>9884</v>
      </c>
      <c r="I134" s="12">
        <v>9528.81939436499</v>
      </c>
      <c r="J134" s="12">
        <v>355.180605635005</v>
      </c>
    </row>
    <row r="135" spans="2:10">
      <c r="B135" s="11" t="s">
        <v>161</v>
      </c>
      <c r="C135" s="12">
        <v>1</v>
      </c>
      <c r="D135" s="12">
        <v>18</v>
      </c>
      <c r="E135" s="12">
        <v>70</v>
      </c>
      <c r="F135" s="12">
        <v>15</v>
      </c>
      <c r="G135" s="12">
        <v>120</v>
      </c>
      <c r="H135" s="12">
        <v>9942</v>
      </c>
      <c r="I135" s="12">
        <v>9795.38340535576</v>
      </c>
      <c r="J135" s="12">
        <v>146.616594644236</v>
      </c>
    </row>
    <row r="136" spans="2:10">
      <c r="B136" s="11" t="s">
        <v>162</v>
      </c>
      <c r="C136" s="12">
        <v>1</v>
      </c>
      <c r="D136" s="12">
        <v>18</v>
      </c>
      <c r="E136" s="12">
        <v>85</v>
      </c>
      <c r="F136" s="12">
        <v>15</v>
      </c>
      <c r="G136" s="12">
        <v>120</v>
      </c>
      <c r="H136" s="12">
        <v>9998</v>
      </c>
      <c r="I136" s="12">
        <v>10529.653247189</v>
      </c>
      <c r="J136" s="12">
        <v>-531.653247189004</v>
      </c>
    </row>
    <row r="137" spans="2:10">
      <c r="B137" s="11" t="s">
        <v>163</v>
      </c>
      <c r="C137" s="12">
        <v>1</v>
      </c>
      <c r="D137" s="12">
        <v>18</v>
      </c>
      <c r="E137" s="12">
        <v>95</v>
      </c>
      <c r="F137" s="12">
        <v>15</v>
      </c>
      <c r="G137" s="12">
        <v>120</v>
      </c>
      <c r="H137" s="12">
        <v>10141</v>
      </c>
      <c r="I137" s="12">
        <v>10974.8320128328</v>
      </c>
      <c r="J137" s="12">
        <v>-833.832012832789</v>
      </c>
    </row>
    <row r="138" spans="2:10">
      <c r="B138" s="11" t="s">
        <v>164</v>
      </c>
      <c r="C138" s="12">
        <v>1</v>
      </c>
      <c r="D138" s="12">
        <v>18</v>
      </c>
      <c r="E138" s="12">
        <v>105</v>
      </c>
      <c r="F138" s="12">
        <v>15</v>
      </c>
      <c r="G138" s="12">
        <v>120</v>
      </c>
      <c r="H138" s="12">
        <v>10152</v>
      </c>
      <c r="I138" s="12">
        <v>11391.4797061489</v>
      </c>
      <c r="J138" s="12">
        <v>-1239.47970614889</v>
      </c>
    </row>
    <row r="139" spans="2:10">
      <c r="B139" s="11" t="s">
        <v>165</v>
      </c>
      <c r="C139" s="12">
        <v>1</v>
      </c>
      <c r="D139" s="12">
        <v>18</v>
      </c>
      <c r="E139" s="12">
        <v>110</v>
      </c>
      <c r="F139" s="12">
        <v>15</v>
      </c>
      <c r="G139" s="12">
        <v>120</v>
      </c>
      <c r="H139" s="12">
        <v>10159</v>
      </c>
      <c r="I139" s="12">
        <v>11590.4915023129</v>
      </c>
      <c r="J139" s="12">
        <v>-1431.49150231293</v>
      </c>
    </row>
    <row r="140" spans="2:10">
      <c r="B140" s="11" t="s">
        <v>166</v>
      </c>
      <c r="C140" s="12">
        <v>1</v>
      </c>
      <c r="D140" s="12">
        <v>18</v>
      </c>
      <c r="E140" s="12">
        <v>5</v>
      </c>
      <c r="F140" s="12">
        <v>45</v>
      </c>
      <c r="G140" s="12">
        <v>120</v>
      </c>
      <c r="H140" s="12">
        <v>1232</v>
      </c>
      <c r="I140" s="12">
        <v>1856.0055124343</v>
      </c>
      <c r="J140" s="12">
        <v>-624.0055124343</v>
      </c>
    </row>
    <row r="141" spans="2:10">
      <c r="B141" s="11" t="s">
        <v>167</v>
      </c>
      <c r="C141" s="12">
        <v>1</v>
      </c>
      <c r="D141" s="12">
        <v>18</v>
      </c>
      <c r="E141" s="12">
        <v>10</v>
      </c>
      <c r="F141" s="12">
        <v>45</v>
      </c>
      <c r="G141" s="12">
        <v>120</v>
      </c>
      <c r="H141" s="12">
        <v>1244</v>
      </c>
      <c r="I141" s="12">
        <v>2402.4402855524</v>
      </c>
      <c r="J141" s="12">
        <v>-1158.4402855524</v>
      </c>
    </row>
    <row r="142" spans="2:10">
      <c r="B142" s="11" t="s">
        <v>168</v>
      </c>
      <c r="C142" s="12">
        <v>1</v>
      </c>
      <c r="D142" s="12">
        <v>18</v>
      </c>
      <c r="E142" s="12">
        <v>15</v>
      </c>
      <c r="F142" s="12">
        <v>45</v>
      </c>
      <c r="G142" s="12">
        <v>120</v>
      </c>
      <c r="H142" s="12">
        <v>1275</v>
      </c>
      <c r="I142" s="12">
        <v>2793.90286480682</v>
      </c>
      <c r="J142" s="12">
        <v>-1518.90286480682</v>
      </c>
    </row>
    <row r="143" spans="2:10">
      <c r="B143" s="11" t="s">
        <v>169</v>
      </c>
      <c r="C143" s="12">
        <v>1</v>
      </c>
      <c r="D143" s="12">
        <v>18</v>
      </c>
      <c r="E143" s="12">
        <v>25</v>
      </c>
      <c r="F143" s="12">
        <v>45</v>
      </c>
      <c r="G143" s="12">
        <v>120</v>
      </c>
      <c r="H143" s="12">
        <v>1475</v>
      </c>
      <c r="I143" s="12">
        <v>3379.13465725866</v>
      </c>
      <c r="J143" s="12">
        <v>-1904.13465725866</v>
      </c>
    </row>
    <row r="144" spans="2:10">
      <c r="B144" s="11" t="s">
        <v>170</v>
      </c>
      <c r="C144" s="12">
        <v>1</v>
      </c>
      <c r="D144" s="12">
        <v>18</v>
      </c>
      <c r="E144" s="12">
        <v>35</v>
      </c>
      <c r="F144" s="12">
        <v>45</v>
      </c>
      <c r="G144" s="12">
        <v>120</v>
      </c>
      <c r="H144" s="12">
        <v>2520</v>
      </c>
      <c r="I144" s="12">
        <v>3830.08934065806</v>
      </c>
      <c r="J144" s="12">
        <v>-1310.08934065806</v>
      </c>
    </row>
    <row r="145" spans="2:10">
      <c r="B145" s="11" t="s">
        <v>171</v>
      </c>
      <c r="C145" s="12">
        <v>1</v>
      </c>
      <c r="D145" s="12">
        <v>18</v>
      </c>
      <c r="E145" s="12">
        <v>40</v>
      </c>
      <c r="F145" s="12">
        <v>45</v>
      </c>
      <c r="G145" s="12">
        <v>120</v>
      </c>
      <c r="H145" s="12">
        <v>2879</v>
      </c>
      <c r="I145" s="12">
        <v>4025.30953263084</v>
      </c>
      <c r="J145" s="12">
        <v>-1146.30953263084</v>
      </c>
    </row>
    <row r="146" spans="2:10">
      <c r="B146" s="11" t="s">
        <v>172</v>
      </c>
      <c r="C146" s="12">
        <v>1</v>
      </c>
      <c r="D146" s="12">
        <v>18</v>
      </c>
      <c r="E146" s="12">
        <v>45</v>
      </c>
      <c r="F146" s="12">
        <v>45</v>
      </c>
      <c r="G146" s="12">
        <v>120</v>
      </c>
      <c r="H146" s="12">
        <v>3445</v>
      </c>
      <c r="I146" s="12">
        <v>4205.74894076565</v>
      </c>
      <c r="J146" s="12">
        <v>-760.748940765649</v>
      </c>
    </row>
    <row r="147" spans="2:10">
      <c r="B147" s="11" t="s">
        <v>173</v>
      </c>
      <c r="C147" s="12">
        <v>1</v>
      </c>
      <c r="D147" s="12">
        <v>18</v>
      </c>
      <c r="E147" s="12">
        <v>50</v>
      </c>
      <c r="F147" s="12">
        <v>45</v>
      </c>
      <c r="G147" s="12">
        <v>120</v>
      </c>
      <c r="H147" s="12">
        <v>4640</v>
      </c>
      <c r="I147" s="12">
        <v>4374.00060318617</v>
      </c>
      <c r="J147" s="12">
        <v>265.999396813828</v>
      </c>
    </row>
    <row r="148" spans="2:10">
      <c r="B148" s="11" t="s">
        <v>174</v>
      </c>
      <c r="C148" s="12">
        <v>1</v>
      </c>
      <c r="D148" s="12">
        <v>18</v>
      </c>
      <c r="E148" s="12">
        <v>55</v>
      </c>
      <c r="F148" s="12">
        <v>45</v>
      </c>
      <c r="G148" s="12">
        <v>120</v>
      </c>
      <c r="H148" s="12">
        <v>4656</v>
      </c>
      <c r="I148" s="12">
        <v>4531.99391171603</v>
      </c>
      <c r="J148" s="12">
        <v>124.006088283966</v>
      </c>
    </row>
    <row r="149" spans="2:10">
      <c r="B149" s="11" t="s">
        <v>175</v>
      </c>
      <c r="C149" s="12">
        <v>1</v>
      </c>
      <c r="D149" s="12">
        <v>18</v>
      </c>
      <c r="E149" s="12">
        <v>75</v>
      </c>
      <c r="F149" s="12">
        <v>45</v>
      </c>
      <c r="G149" s="12">
        <v>120</v>
      </c>
      <c r="H149" s="12">
        <v>5621</v>
      </c>
      <c r="I149" s="12">
        <v>5086.71657289444</v>
      </c>
      <c r="J149" s="12">
        <v>534.283427105564</v>
      </c>
    </row>
    <row r="150" spans="2:10">
      <c r="B150" s="11" t="s">
        <v>176</v>
      </c>
      <c r="C150" s="12">
        <v>1</v>
      </c>
      <c r="D150" s="12">
        <v>18</v>
      </c>
      <c r="E150" s="12">
        <v>80</v>
      </c>
      <c r="F150" s="12">
        <v>45</v>
      </c>
      <c r="G150" s="12">
        <v>120</v>
      </c>
      <c r="H150" s="12">
        <v>5967</v>
      </c>
      <c r="I150" s="12">
        <v>5210.41867506454</v>
      </c>
      <c r="J150" s="12">
        <v>756.581324935456</v>
      </c>
    </row>
    <row r="151" spans="2:10">
      <c r="B151" s="11" t="s">
        <v>177</v>
      </c>
      <c r="C151" s="12">
        <v>1</v>
      </c>
      <c r="D151" s="12">
        <v>18</v>
      </c>
      <c r="E151" s="12">
        <v>90</v>
      </c>
      <c r="F151" s="12">
        <v>45</v>
      </c>
      <c r="G151" s="12">
        <v>120</v>
      </c>
      <c r="H151" s="12">
        <v>6611</v>
      </c>
      <c r="I151" s="12">
        <v>5443.9820455934</v>
      </c>
      <c r="J151" s="12">
        <v>1167.0179544066</v>
      </c>
    </row>
    <row r="152" spans="2:10">
      <c r="B152" s="11" t="s">
        <v>178</v>
      </c>
      <c r="C152" s="12">
        <v>1</v>
      </c>
      <c r="D152" s="12">
        <v>18</v>
      </c>
      <c r="E152" s="12">
        <v>95</v>
      </c>
      <c r="F152" s="12">
        <v>45</v>
      </c>
      <c r="G152" s="12">
        <v>120</v>
      </c>
      <c r="H152" s="12">
        <v>6647</v>
      </c>
      <c r="I152" s="12">
        <v>5554.67541569085</v>
      </c>
      <c r="J152" s="12">
        <v>1092.32458430915</v>
      </c>
    </row>
    <row r="153" spans="2:10">
      <c r="B153" s="11" t="s">
        <v>179</v>
      </c>
      <c r="C153" s="12">
        <v>1</v>
      </c>
      <c r="D153" s="12">
        <v>18</v>
      </c>
      <c r="E153" s="12">
        <v>100</v>
      </c>
      <c r="F153" s="12">
        <v>45</v>
      </c>
      <c r="G153" s="12">
        <v>120</v>
      </c>
      <c r="H153" s="12">
        <v>6688</v>
      </c>
      <c r="I153" s="12">
        <v>5661.76942241001</v>
      </c>
      <c r="J153" s="12">
        <v>1026.23057758999</v>
      </c>
    </row>
    <row r="154" spans="2:10">
      <c r="B154" s="11" t="s">
        <v>180</v>
      </c>
      <c r="C154" s="12">
        <v>1</v>
      </c>
      <c r="D154" s="12">
        <v>18</v>
      </c>
      <c r="E154" s="12">
        <v>110</v>
      </c>
      <c r="F154" s="12">
        <v>45</v>
      </c>
      <c r="G154" s="12">
        <v>120</v>
      </c>
      <c r="H154" s="12">
        <v>6756</v>
      </c>
      <c r="I154" s="12">
        <v>5866.27823809882</v>
      </c>
      <c r="J154" s="12">
        <v>889.721761901178</v>
      </c>
    </row>
    <row r="155" spans="2:10">
      <c r="B155" s="11" t="s">
        <v>181</v>
      </c>
      <c r="C155" s="12">
        <v>2</v>
      </c>
      <c r="D155" s="12">
        <v>9</v>
      </c>
      <c r="E155" s="12">
        <v>10</v>
      </c>
      <c r="F155" s="12">
        <v>15</v>
      </c>
      <c r="G155" s="12">
        <v>60</v>
      </c>
      <c r="H155" s="12">
        <v>2097</v>
      </c>
      <c r="I155" s="12">
        <v>1057.42262153918</v>
      </c>
      <c r="J155" s="12">
        <v>1039.57737846082</v>
      </c>
    </row>
    <row r="156" spans="2:10">
      <c r="B156" s="11" t="s">
        <v>182</v>
      </c>
      <c r="C156" s="12">
        <v>2</v>
      </c>
      <c r="D156" s="12">
        <v>9</v>
      </c>
      <c r="E156" s="12">
        <v>20</v>
      </c>
      <c r="F156" s="12">
        <v>15</v>
      </c>
      <c r="G156" s="12">
        <v>60</v>
      </c>
      <c r="H156" s="12">
        <v>2112</v>
      </c>
      <c r="I156" s="12">
        <v>1368.74308175314</v>
      </c>
      <c r="J156" s="12">
        <v>743.256918246855</v>
      </c>
    </row>
    <row r="157" spans="2:10">
      <c r="B157" s="11" t="s">
        <v>183</v>
      </c>
      <c r="C157" s="12">
        <v>2</v>
      </c>
      <c r="D157" s="12">
        <v>9</v>
      </c>
      <c r="E157" s="12">
        <v>25</v>
      </c>
      <c r="F157" s="12">
        <v>15</v>
      </c>
      <c r="G157" s="12">
        <v>60</v>
      </c>
      <c r="H157" s="12">
        <v>2113</v>
      </c>
      <c r="I157" s="12">
        <v>1487.30998614218</v>
      </c>
      <c r="J157" s="12">
        <v>625.690013857821</v>
      </c>
    </row>
    <row r="158" spans="2:10">
      <c r="B158" s="11" t="s">
        <v>184</v>
      </c>
      <c r="C158" s="12">
        <v>2</v>
      </c>
      <c r="D158" s="12">
        <v>9</v>
      </c>
      <c r="E158" s="12">
        <v>35</v>
      </c>
      <c r="F158" s="12">
        <v>15</v>
      </c>
      <c r="G158" s="12">
        <v>60</v>
      </c>
      <c r="H158" s="12">
        <v>2142</v>
      </c>
      <c r="I158" s="12">
        <v>1685.79553701444</v>
      </c>
      <c r="J158" s="12">
        <v>456.204462985565</v>
      </c>
    </row>
    <row r="159" spans="2:10">
      <c r="B159" s="11" t="s">
        <v>185</v>
      </c>
      <c r="C159" s="12">
        <v>2</v>
      </c>
      <c r="D159" s="12">
        <v>9</v>
      </c>
      <c r="E159" s="12">
        <v>40</v>
      </c>
      <c r="F159" s="12">
        <v>15</v>
      </c>
      <c r="G159" s="12">
        <v>60</v>
      </c>
      <c r="H159" s="12">
        <v>2149</v>
      </c>
      <c r="I159" s="12">
        <v>1771.72077245719</v>
      </c>
      <c r="J159" s="12">
        <v>377.279227542815</v>
      </c>
    </row>
    <row r="160" spans="2:10">
      <c r="B160" s="11" t="s">
        <v>186</v>
      </c>
      <c r="C160" s="12">
        <v>2</v>
      </c>
      <c r="D160" s="12">
        <v>9</v>
      </c>
      <c r="E160" s="12">
        <v>45</v>
      </c>
      <c r="F160" s="12">
        <v>15</v>
      </c>
      <c r="G160" s="12">
        <v>60</v>
      </c>
      <c r="H160" s="12">
        <v>2159</v>
      </c>
      <c r="I160" s="12">
        <v>1851.14031646263</v>
      </c>
      <c r="J160" s="12">
        <v>307.859683537368</v>
      </c>
    </row>
    <row r="161" spans="2:10">
      <c r="B161" s="11" t="s">
        <v>187</v>
      </c>
      <c r="C161" s="12">
        <v>2</v>
      </c>
      <c r="D161" s="12">
        <v>9</v>
      </c>
      <c r="E161" s="12">
        <v>50</v>
      </c>
      <c r="F161" s="12">
        <v>15</v>
      </c>
      <c r="G161" s="12">
        <v>60</v>
      </c>
      <c r="H161" s="12">
        <v>2178</v>
      </c>
      <c r="I161" s="12">
        <v>1925.19548238078</v>
      </c>
      <c r="J161" s="12">
        <v>252.804517619215</v>
      </c>
    </row>
    <row r="162" spans="2:10">
      <c r="B162" s="11" t="s">
        <v>188</v>
      </c>
      <c r="C162" s="12">
        <v>2</v>
      </c>
      <c r="D162" s="12">
        <v>9</v>
      </c>
      <c r="E162" s="12">
        <v>55</v>
      </c>
      <c r="F162" s="12">
        <v>15</v>
      </c>
      <c r="G162" s="12">
        <v>60</v>
      </c>
      <c r="H162" s="12">
        <v>2182</v>
      </c>
      <c r="I162" s="12">
        <v>1994.73548281117</v>
      </c>
      <c r="J162" s="12">
        <v>187.264517188828</v>
      </c>
    </row>
    <row r="163" spans="2:10">
      <c r="B163" s="11" t="s">
        <v>189</v>
      </c>
      <c r="C163" s="12">
        <v>2</v>
      </c>
      <c r="D163" s="12">
        <v>9</v>
      </c>
      <c r="E163" s="12">
        <v>65</v>
      </c>
      <c r="F163" s="12">
        <v>15</v>
      </c>
      <c r="G163" s="12">
        <v>60</v>
      </c>
      <c r="H163" s="12">
        <v>2223</v>
      </c>
      <c r="I163" s="12">
        <v>2122.73556240236</v>
      </c>
      <c r="J163" s="12">
        <v>100.26443759764</v>
      </c>
    </row>
    <row r="164" spans="2:10">
      <c r="B164" s="11" t="s">
        <v>190</v>
      </c>
      <c r="C164" s="12">
        <v>2</v>
      </c>
      <c r="D164" s="12">
        <v>9</v>
      </c>
      <c r="E164" s="12">
        <v>80</v>
      </c>
      <c r="F164" s="12">
        <v>15</v>
      </c>
      <c r="G164" s="12">
        <v>60</v>
      </c>
      <c r="H164" s="12">
        <v>2298</v>
      </c>
      <c r="I164" s="12">
        <v>2293.34090334596</v>
      </c>
      <c r="J164" s="12">
        <v>4.65909665404479</v>
      </c>
    </row>
    <row r="165" spans="2:10">
      <c r="B165" s="11" t="s">
        <v>191</v>
      </c>
      <c r="C165" s="12">
        <v>2</v>
      </c>
      <c r="D165" s="12">
        <v>9</v>
      </c>
      <c r="E165" s="12">
        <v>85</v>
      </c>
      <c r="F165" s="12">
        <v>15</v>
      </c>
      <c r="G165" s="12">
        <v>60</v>
      </c>
      <c r="H165" s="12">
        <v>2312</v>
      </c>
      <c r="I165" s="12">
        <v>2345.69136873258</v>
      </c>
      <c r="J165" s="12">
        <v>-33.6913687325814</v>
      </c>
    </row>
    <row r="166" spans="2:10">
      <c r="B166" s="11" t="s">
        <v>192</v>
      </c>
      <c r="C166" s="12">
        <v>2</v>
      </c>
      <c r="D166" s="12">
        <v>9</v>
      </c>
      <c r="E166" s="12">
        <v>90</v>
      </c>
      <c r="F166" s="12">
        <v>15</v>
      </c>
      <c r="G166" s="12">
        <v>60</v>
      </c>
      <c r="H166" s="12">
        <v>2375</v>
      </c>
      <c r="I166" s="12">
        <v>2396.14270576552</v>
      </c>
      <c r="J166" s="12">
        <v>-21.1427057655173</v>
      </c>
    </row>
    <row r="167" spans="2:10">
      <c r="B167" s="11" t="s">
        <v>193</v>
      </c>
      <c r="C167" s="12">
        <v>2</v>
      </c>
      <c r="D167" s="12">
        <v>9</v>
      </c>
      <c r="E167" s="12">
        <v>100</v>
      </c>
      <c r="F167" s="12">
        <v>15</v>
      </c>
      <c r="G167" s="12">
        <v>60</v>
      </c>
      <c r="H167" s="12">
        <v>2420</v>
      </c>
      <c r="I167" s="12">
        <v>2492.00077987311</v>
      </c>
      <c r="J167" s="12">
        <v>-72.0007798731144</v>
      </c>
    </row>
    <row r="168" spans="2:10">
      <c r="B168" s="11" t="s">
        <v>194</v>
      </c>
      <c r="C168" s="12">
        <v>2</v>
      </c>
      <c r="D168" s="12">
        <v>9</v>
      </c>
      <c r="E168" s="12">
        <v>105</v>
      </c>
      <c r="F168" s="12">
        <v>15</v>
      </c>
      <c r="G168" s="12">
        <v>60</v>
      </c>
      <c r="H168" s="12">
        <v>2450</v>
      </c>
      <c r="I168" s="12">
        <v>2537.68049113481</v>
      </c>
      <c r="J168" s="12">
        <v>-87.6804911348067</v>
      </c>
    </row>
    <row r="169" spans="2:10">
      <c r="B169" s="11" t="s">
        <v>195</v>
      </c>
      <c r="C169" s="12">
        <v>2</v>
      </c>
      <c r="D169" s="12">
        <v>9</v>
      </c>
      <c r="E169" s="12">
        <v>110</v>
      </c>
      <c r="F169" s="12">
        <v>15</v>
      </c>
      <c r="G169" s="12">
        <v>60</v>
      </c>
      <c r="H169" s="12">
        <v>2484</v>
      </c>
      <c r="I169" s="12">
        <v>2582.01435869712</v>
      </c>
      <c r="J169" s="12">
        <v>-98.0143586971199</v>
      </c>
    </row>
    <row r="170" spans="2:10">
      <c r="B170" s="11" t="s">
        <v>196</v>
      </c>
      <c r="C170" s="12">
        <v>2</v>
      </c>
      <c r="D170" s="12">
        <v>9</v>
      </c>
      <c r="E170" s="12">
        <v>5</v>
      </c>
      <c r="F170" s="12">
        <v>45</v>
      </c>
      <c r="G170" s="12">
        <v>60</v>
      </c>
      <c r="H170" s="12">
        <v>450</v>
      </c>
      <c r="I170" s="12">
        <v>413.462438755946</v>
      </c>
      <c r="J170" s="12">
        <v>36.5375612440542</v>
      </c>
    </row>
    <row r="171" spans="2:10">
      <c r="B171" s="11" t="s">
        <v>197</v>
      </c>
      <c r="C171" s="12">
        <v>2</v>
      </c>
      <c r="D171" s="12">
        <v>9</v>
      </c>
      <c r="E171" s="12">
        <v>10</v>
      </c>
      <c r="F171" s="12">
        <v>45</v>
      </c>
      <c r="G171" s="12">
        <v>60</v>
      </c>
      <c r="H171" s="12">
        <v>470</v>
      </c>
      <c r="I171" s="12">
        <v>535.191739881854</v>
      </c>
      <c r="J171" s="12">
        <v>-65.1917398818537</v>
      </c>
    </row>
    <row r="172" spans="2:10">
      <c r="B172" s="11" t="s">
        <v>198</v>
      </c>
      <c r="C172" s="12">
        <v>2</v>
      </c>
      <c r="D172" s="12">
        <v>9</v>
      </c>
      <c r="E172" s="12">
        <v>25</v>
      </c>
      <c r="F172" s="12">
        <v>45</v>
      </c>
      <c r="G172" s="12">
        <v>60</v>
      </c>
      <c r="H172" s="12">
        <v>522</v>
      </c>
      <c r="I172" s="12">
        <v>752.769992823154</v>
      </c>
      <c r="J172" s="12">
        <v>-230.769992823154</v>
      </c>
    </row>
    <row r="173" spans="2:10">
      <c r="B173" s="11" t="s">
        <v>199</v>
      </c>
      <c r="C173" s="12">
        <v>2</v>
      </c>
      <c r="D173" s="12">
        <v>9</v>
      </c>
      <c r="E173" s="12">
        <v>35</v>
      </c>
      <c r="F173" s="12">
        <v>45</v>
      </c>
      <c r="G173" s="12">
        <v>60</v>
      </c>
      <c r="H173" s="12">
        <v>590</v>
      </c>
      <c r="I173" s="12">
        <v>853.229189693849</v>
      </c>
      <c r="J173" s="12">
        <v>-263.229189693849</v>
      </c>
    </row>
    <row r="174" spans="2:10">
      <c r="B174" s="11" t="s">
        <v>200</v>
      </c>
      <c r="C174" s="12">
        <v>2</v>
      </c>
      <c r="D174" s="12">
        <v>9</v>
      </c>
      <c r="E174" s="12">
        <v>40</v>
      </c>
      <c r="F174" s="12">
        <v>45</v>
      </c>
      <c r="G174" s="12">
        <v>60</v>
      </c>
      <c r="H174" s="12">
        <v>598</v>
      </c>
      <c r="I174" s="12">
        <v>896.718401405081</v>
      </c>
      <c r="J174" s="12">
        <v>-298.718401405081</v>
      </c>
    </row>
    <row r="175" spans="2:10">
      <c r="B175" s="11" t="s">
        <v>201</v>
      </c>
      <c r="C175" s="12">
        <v>2</v>
      </c>
      <c r="D175" s="12">
        <v>9</v>
      </c>
      <c r="E175" s="12">
        <v>45</v>
      </c>
      <c r="F175" s="12">
        <v>45</v>
      </c>
      <c r="G175" s="12">
        <v>60</v>
      </c>
      <c r="H175" s="12">
        <v>612</v>
      </c>
      <c r="I175" s="12">
        <v>936.914897178009</v>
      </c>
      <c r="J175" s="12">
        <v>-324.914897178009</v>
      </c>
    </row>
    <row r="176" spans="2:10">
      <c r="B176" s="11" t="s">
        <v>202</v>
      </c>
      <c r="C176" s="12">
        <v>2</v>
      </c>
      <c r="D176" s="12">
        <v>9</v>
      </c>
      <c r="E176" s="12">
        <v>55</v>
      </c>
      <c r="F176" s="12">
        <v>45</v>
      </c>
      <c r="G176" s="12">
        <v>60</v>
      </c>
      <c r="H176" s="12">
        <v>642</v>
      </c>
      <c r="I176" s="12">
        <v>1009.59250530865</v>
      </c>
      <c r="J176" s="12">
        <v>-367.59250530865</v>
      </c>
    </row>
    <row r="177" spans="2:10">
      <c r="B177" s="11" t="s">
        <v>203</v>
      </c>
      <c r="C177" s="12">
        <v>2</v>
      </c>
      <c r="D177" s="12">
        <v>9</v>
      </c>
      <c r="E177" s="12">
        <v>65</v>
      </c>
      <c r="F177" s="12">
        <v>45</v>
      </c>
      <c r="G177" s="12">
        <v>60</v>
      </c>
      <c r="H177" s="12">
        <v>649</v>
      </c>
      <c r="I177" s="12">
        <v>1074.37699535645</v>
      </c>
      <c r="J177" s="12">
        <v>-425.37699535645</v>
      </c>
    </row>
    <row r="178" spans="2:10">
      <c r="B178" s="11" t="s">
        <v>204</v>
      </c>
      <c r="C178" s="12">
        <v>2</v>
      </c>
      <c r="D178" s="12">
        <v>9</v>
      </c>
      <c r="E178" s="12">
        <v>70</v>
      </c>
      <c r="F178" s="12">
        <v>45</v>
      </c>
      <c r="G178" s="12">
        <v>60</v>
      </c>
      <c r="H178" s="12">
        <v>654</v>
      </c>
      <c r="I178" s="12">
        <v>1104.43216057112</v>
      </c>
      <c r="J178" s="12">
        <v>-450.432160571123</v>
      </c>
    </row>
    <row r="179" spans="2:10">
      <c r="B179" s="11" t="s">
        <v>205</v>
      </c>
      <c r="C179" s="12">
        <v>2</v>
      </c>
      <c r="D179" s="12">
        <v>9</v>
      </c>
      <c r="E179" s="12">
        <v>80</v>
      </c>
      <c r="F179" s="12">
        <v>45</v>
      </c>
      <c r="G179" s="12">
        <v>60</v>
      </c>
      <c r="H179" s="12">
        <v>710</v>
      </c>
      <c r="I179" s="12">
        <v>1160.72522301195</v>
      </c>
      <c r="J179" s="12">
        <v>-450.725223011949</v>
      </c>
    </row>
    <row r="180" spans="2:10">
      <c r="B180" s="11" t="s">
        <v>206</v>
      </c>
      <c r="C180" s="12">
        <v>2</v>
      </c>
      <c r="D180" s="12">
        <v>9</v>
      </c>
      <c r="E180" s="12">
        <v>90</v>
      </c>
      <c r="F180" s="12">
        <v>45</v>
      </c>
      <c r="G180" s="12">
        <v>60</v>
      </c>
      <c r="H180" s="12">
        <v>756</v>
      </c>
      <c r="I180" s="12">
        <v>1212.75614648494</v>
      </c>
      <c r="J180" s="12">
        <v>-456.756146484941</v>
      </c>
    </row>
    <row r="181" spans="2:10">
      <c r="B181" s="11" t="s">
        <v>207</v>
      </c>
      <c r="C181" s="12">
        <v>2</v>
      </c>
      <c r="D181" s="12">
        <v>9</v>
      </c>
      <c r="E181" s="12">
        <v>95</v>
      </c>
      <c r="F181" s="12">
        <v>45</v>
      </c>
      <c r="G181" s="12">
        <v>60</v>
      </c>
      <c r="H181" s="12">
        <v>776</v>
      </c>
      <c r="I181" s="12">
        <v>1237.41531395399</v>
      </c>
      <c r="J181" s="12">
        <v>-461.415313953995</v>
      </c>
    </row>
    <row r="182" spans="2:10">
      <c r="B182" s="11" t="s">
        <v>208</v>
      </c>
      <c r="C182" s="12">
        <v>2</v>
      </c>
      <c r="D182" s="12">
        <v>9</v>
      </c>
      <c r="E182" s="12">
        <v>100</v>
      </c>
      <c r="F182" s="12">
        <v>45</v>
      </c>
      <c r="G182" s="12">
        <v>60</v>
      </c>
      <c r="H182" s="12">
        <v>778</v>
      </c>
      <c r="I182" s="12">
        <v>1261.27265106727</v>
      </c>
      <c r="J182" s="12">
        <v>-483.272651067275</v>
      </c>
    </row>
    <row r="183" ht="15.15" spans="2:10">
      <c r="B183" s="13" t="s">
        <v>209</v>
      </c>
      <c r="C183" s="14">
        <v>2</v>
      </c>
      <c r="D183" s="14">
        <v>9</v>
      </c>
      <c r="E183" s="14">
        <v>110</v>
      </c>
      <c r="F183" s="14">
        <v>45</v>
      </c>
      <c r="G183" s="14">
        <v>60</v>
      </c>
      <c r="H183" s="14">
        <v>783</v>
      </c>
      <c r="I183" s="14">
        <v>1306.8310899379</v>
      </c>
      <c r="J183" s="14">
        <v>-523.831089937902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28"/>
  <sheetViews>
    <sheetView workbookViewId="0">
      <selection activeCell="B74" sqref="B74"/>
    </sheetView>
  </sheetViews>
  <sheetFormatPr defaultColWidth="9" defaultRowHeight="14.4"/>
  <cols>
    <col min="1" max="1" width="5" customWidth="1"/>
    <col min="3" max="3" width="12.712962962963" customWidth="1"/>
    <col min="4" max="4" width="15.712962962963" customWidth="1"/>
    <col min="5" max="5" width="14.712962962963" customWidth="1"/>
    <col min="6" max="6" width="10.287037037037" customWidth="1"/>
    <col min="7" max="7" width="10.712962962963" customWidth="1"/>
    <col min="8" max="8" width="10.287037037037" customWidth="1"/>
    <col min="9" max="9" width="9.57407407407407" customWidth="1"/>
    <col min="10" max="10" width="10.287037037037" customWidth="1"/>
    <col min="11" max="11" width="10.5740740740741" customWidth="1"/>
    <col min="12" max="12" width="9.57407407407407" customWidth="1"/>
    <col min="13" max="13" width="10.287037037037" customWidth="1"/>
    <col min="14" max="14" width="10.5740740740741" customWidth="1"/>
  </cols>
  <sheetData>
    <row r="1" spans="2:2">
      <c r="B1" t="s">
        <v>210</v>
      </c>
    </row>
    <row r="2" spans="2:2">
      <c r="B2" t="s">
        <v>56</v>
      </c>
    </row>
    <row r="3" spans="2:2">
      <c r="B3" t="s">
        <v>57</v>
      </c>
    </row>
    <row r="4" spans="2:2">
      <c r="B4" t="s">
        <v>211</v>
      </c>
    </row>
    <row r="5" spans="2:2">
      <c r="B5" t="s">
        <v>212</v>
      </c>
    </row>
    <row r="9" spans="2:2">
      <c r="B9" t="s">
        <v>61</v>
      </c>
    </row>
    <row r="10" ht="15.15"/>
    <row r="11" spans="2:9">
      <c r="B11" s="15" t="s">
        <v>62</v>
      </c>
      <c r="C11" s="16" t="s">
        <v>63</v>
      </c>
      <c r="D11" s="16" t="s">
        <v>64</v>
      </c>
      <c r="E11" s="16" t="s">
        <v>65</v>
      </c>
      <c r="F11" s="16" t="s">
        <v>14</v>
      </c>
      <c r="G11" s="16" t="s">
        <v>18</v>
      </c>
      <c r="H11" s="16" t="s">
        <v>17</v>
      </c>
      <c r="I11" s="16" t="s">
        <v>66</v>
      </c>
    </row>
    <row r="12" spans="2:9">
      <c r="B12" s="17" t="s">
        <v>5</v>
      </c>
      <c r="C12" s="18">
        <v>120</v>
      </c>
      <c r="D12" s="18">
        <v>0</v>
      </c>
      <c r="E12" s="18">
        <v>120</v>
      </c>
      <c r="F12" s="19">
        <v>450</v>
      </c>
      <c r="G12" s="19">
        <v>10159</v>
      </c>
      <c r="H12" s="19">
        <v>4458.65</v>
      </c>
      <c r="I12" s="19">
        <v>3099.75655495718</v>
      </c>
    </row>
    <row r="13" spans="2:9">
      <c r="B13" s="11" t="s">
        <v>0</v>
      </c>
      <c r="C13" s="20">
        <v>120</v>
      </c>
      <c r="D13" s="20">
        <v>0</v>
      </c>
      <c r="E13" s="20">
        <v>120</v>
      </c>
      <c r="F13" s="12">
        <v>1</v>
      </c>
      <c r="G13" s="12">
        <v>2</v>
      </c>
      <c r="H13" s="12">
        <v>1.24166666666667</v>
      </c>
      <c r="I13" s="12">
        <v>0.429888266377006</v>
      </c>
    </row>
    <row r="14" spans="2:9">
      <c r="B14" s="11" t="s">
        <v>1</v>
      </c>
      <c r="C14" s="20">
        <v>120</v>
      </c>
      <c r="D14" s="20">
        <v>0</v>
      </c>
      <c r="E14" s="20">
        <v>120</v>
      </c>
      <c r="F14" s="12">
        <v>9</v>
      </c>
      <c r="G14" s="12">
        <v>18</v>
      </c>
      <c r="H14" s="12">
        <v>13.425</v>
      </c>
      <c r="I14" s="12">
        <v>4.51824034313352</v>
      </c>
    </row>
    <row r="15" spans="2:9">
      <c r="B15" s="11" t="s">
        <v>2</v>
      </c>
      <c r="C15" s="20">
        <v>120</v>
      </c>
      <c r="D15" s="20">
        <v>0</v>
      </c>
      <c r="E15" s="20">
        <v>120</v>
      </c>
      <c r="F15" s="12">
        <v>5</v>
      </c>
      <c r="G15" s="12">
        <v>110</v>
      </c>
      <c r="H15" s="12">
        <v>59.25</v>
      </c>
      <c r="I15" s="12">
        <v>31.9969142419766</v>
      </c>
    </row>
    <row r="16" spans="2:9">
      <c r="B16" s="11" t="s">
        <v>3</v>
      </c>
      <c r="C16" s="20">
        <v>120</v>
      </c>
      <c r="D16" s="20">
        <v>0</v>
      </c>
      <c r="E16" s="20">
        <v>120</v>
      </c>
      <c r="F16" s="12">
        <v>15</v>
      </c>
      <c r="G16" s="12">
        <v>45</v>
      </c>
      <c r="H16" s="12">
        <v>29.75</v>
      </c>
      <c r="I16" s="12">
        <v>15.0608011437784</v>
      </c>
    </row>
    <row r="17" ht="15.15" spans="2:9">
      <c r="B17" s="13" t="s">
        <v>4</v>
      </c>
      <c r="C17" s="21">
        <v>120</v>
      </c>
      <c r="D17" s="21">
        <v>0</v>
      </c>
      <c r="E17" s="21">
        <v>120</v>
      </c>
      <c r="F17" s="14">
        <v>60</v>
      </c>
      <c r="G17" s="14">
        <v>120</v>
      </c>
      <c r="H17" s="14">
        <v>74.5</v>
      </c>
      <c r="I17" s="14">
        <v>25.7932959826203</v>
      </c>
    </row>
    <row r="20" spans="2:2">
      <c r="B20" t="s">
        <v>67</v>
      </c>
    </row>
    <row r="21" ht="15.15"/>
    <row r="22" spans="2:8">
      <c r="B22" s="15" t="s">
        <v>68</v>
      </c>
      <c r="C22" s="16" t="s">
        <v>0</v>
      </c>
      <c r="D22" s="16" t="s">
        <v>1</v>
      </c>
      <c r="E22" s="16" t="s">
        <v>2</v>
      </c>
      <c r="F22" s="16" t="s">
        <v>3</v>
      </c>
      <c r="G22" s="16" t="s">
        <v>4</v>
      </c>
      <c r="H22" s="22" t="s">
        <v>5</v>
      </c>
    </row>
    <row r="23" spans="2:8">
      <c r="B23" s="6" t="s">
        <v>0</v>
      </c>
      <c r="C23" s="23">
        <v>1</v>
      </c>
      <c r="D23" s="24">
        <v>-0.555187131385177</v>
      </c>
      <c r="E23" s="24">
        <v>0.0132876631877199</v>
      </c>
      <c r="F23" s="24">
        <v>-0.010058913543507</v>
      </c>
      <c r="G23" s="24">
        <v>-0.318681318681319</v>
      </c>
      <c r="H23" s="19">
        <v>-0.546225845794589</v>
      </c>
    </row>
    <row r="24" spans="2:8">
      <c r="B24" s="11" t="s">
        <v>1</v>
      </c>
      <c r="C24" s="12">
        <v>-0.555187131385177</v>
      </c>
      <c r="D24" s="25">
        <v>1</v>
      </c>
      <c r="E24" s="12">
        <v>0.0022233459913462</v>
      </c>
      <c r="F24" s="12">
        <v>-0.000277854959711002</v>
      </c>
      <c r="G24" s="12">
        <v>0.574007034143996</v>
      </c>
      <c r="H24" s="26">
        <v>0.642146313851826</v>
      </c>
    </row>
    <row r="25" spans="2:8">
      <c r="B25" s="11" t="s">
        <v>2</v>
      </c>
      <c r="C25" s="12">
        <v>0.0132876631877199</v>
      </c>
      <c r="D25" s="12">
        <v>0.0022233459913462</v>
      </c>
      <c r="E25" s="25">
        <v>1</v>
      </c>
      <c r="F25" s="12">
        <v>0.0126861506565048</v>
      </c>
      <c r="G25" s="12">
        <v>-0.0539143115547714</v>
      </c>
      <c r="H25" s="26">
        <v>0.360897165192899</v>
      </c>
    </row>
    <row r="26" spans="2:8">
      <c r="B26" s="11" t="s">
        <v>3</v>
      </c>
      <c r="C26" s="12">
        <v>-0.010058913543507</v>
      </c>
      <c r="D26" s="12">
        <v>-0.000277854959711002</v>
      </c>
      <c r="E26" s="12">
        <v>0.0126861506565048</v>
      </c>
      <c r="F26" s="25">
        <v>1</v>
      </c>
      <c r="G26" s="12">
        <v>0.0288788163023265</v>
      </c>
      <c r="H26" s="26">
        <v>-0.521615341687615</v>
      </c>
    </row>
    <row r="27" spans="2:8">
      <c r="B27" s="11" t="s">
        <v>4</v>
      </c>
      <c r="C27" s="12">
        <v>-0.318681318681319</v>
      </c>
      <c r="D27" s="12">
        <v>0.574007034143996</v>
      </c>
      <c r="E27" s="12">
        <v>-0.0539143115547714</v>
      </c>
      <c r="F27" s="12">
        <v>0.0288788163023265</v>
      </c>
      <c r="G27" s="25">
        <v>1</v>
      </c>
      <c r="H27" s="26">
        <v>0.345550861687897</v>
      </c>
    </row>
    <row r="28" ht="15.15" spans="2:8">
      <c r="B28" s="27" t="s">
        <v>5</v>
      </c>
      <c r="C28" s="28">
        <v>-0.546225845794589</v>
      </c>
      <c r="D28" s="28">
        <v>0.642146313851826</v>
      </c>
      <c r="E28" s="28">
        <v>0.360897165192899</v>
      </c>
      <c r="F28" s="28">
        <v>-0.521615341687615</v>
      </c>
      <c r="G28" s="28">
        <v>0.345550861687897</v>
      </c>
      <c r="H28" s="29">
        <v>1</v>
      </c>
    </row>
    <row r="31" spans="2:2">
      <c r="B31" t="s">
        <v>213</v>
      </c>
    </row>
    <row r="32" ht="15.15"/>
    <row r="33" spans="2:7">
      <c r="B33" s="15" t="s">
        <v>41</v>
      </c>
      <c r="C33" s="16" t="s">
        <v>0</v>
      </c>
      <c r="D33" s="16" t="s">
        <v>1</v>
      </c>
      <c r="E33" s="16" t="s">
        <v>2</v>
      </c>
      <c r="F33" s="16" t="s">
        <v>3</v>
      </c>
      <c r="G33" s="16" t="s">
        <v>4</v>
      </c>
    </row>
    <row r="34" spans="2:7">
      <c r="B34" s="6" t="s">
        <v>214</v>
      </c>
      <c r="C34" s="24">
        <v>0.691446384114464</v>
      </c>
      <c r="D34" s="24">
        <v>0.514961475267751</v>
      </c>
      <c r="E34" s="24">
        <v>0.994913283856505</v>
      </c>
      <c r="F34" s="24">
        <v>0.998356597869542</v>
      </c>
      <c r="G34" s="24">
        <v>0.666583610248483</v>
      </c>
    </row>
    <row r="35" ht="15.15" spans="2:7">
      <c r="B35" s="13" t="s">
        <v>215</v>
      </c>
      <c r="C35" s="14">
        <v>1.44624373338896</v>
      </c>
      <c r="D35" s="14">
        <v>1.94189283670212</v>
      </c>
      <c r="E35" s="14">
        <v>1.0051127231147</v>
      </c>
      <c r="F35" s="14">
        <v>1.00164610734678</v>
      </c>
      <c r="G35" s="14">
        <v>1.50018690022581</v>
      </c>
    </row>
    <row r="38" spans="2:2">
      <c r="B38" s="30" t="s">
        <v>216</v>
      </c>
    </row>
    <row r="40" spans="2:2">
      <c r="B40" t="s">
        <v>70</v>
      </c>
    </row>
    <row r="41" ht="15.15"/>
    <row r="42" spans="2:3">
      <c r="B42" s="31" t="s">
        <v>63</v>
      </c>
      <c r="C42" s="32">
        <v>120</v>
      </c>
    </row>
    <row r="43" spans="2:3">
      <c r="B43" s="11" t="s">
        <v>217</v>
      </c>
      <c r="C43" s="12">
        <v>120</v>
      </c>
    </row>
    <row r="44" spans="2:3">
      <c r="B44" s="11" t="s">
        <v>71</v>
      </c>
      <c r="C44" s="12">
        <v>114</v>
      </c>
    </row>
    <row r="45" spans="2:3">
      <c r="B45" s="11" t="s">
        <v>72</v>
      </c>
      <c r="C45" s="12">
        <v>0.876616871970211</v>
      </c>
    </row>
    <row r="46" spans="2:3">
      <c r="B46" s="11" t="s">
        <v>218</v>
      </c>
      <c r="C46" s="12">
        <v>0.87120533126715</v>
      </c>
    </row>
    <row r="47" spans="2:3">
      <c r="B47" s="11" t="s">
        <v>74</v>
      </c>
      <c r="C47" s="12">
        <v>1237522.37672917</v>
      </c>
    </row>
    <row r="48" spans="2:3">
      <c r="B48" s="11" t="s">
        <v>32</v>
      </c>
      <c r="C48" s="12">
        <v>1112.4398306107</v>
      </c>
    </row>
    <row r="49" ht="15.15" spans="2:3">
      <c r="B49" s="13" t="s">
        <v>219</v>
      </c>
      <c r="C49" s="14">
        <v>0.435817879495326</v>
      </c>
    </row>
    <row r="52" spans="2:2">
      <c r="B52" t="s">
        <v>220</v>
      </c>
    </row>
    <row r="53" ht="15.15"/>
    <row r="54" spans="2:7">
      <c r="B54" s="15" t="s">
        <v>221</v>
      </c>
      <c r="C54" s="16" t="s">
        <v>71</v>
      </c>
      <c r="D54" s="16" t="s">
        <v>222</v>
      </c>
      <c r="E54" s="16" t="s">
        <v>223</v>
      </c>
      <c r="F54" s="16" t="s">
        <v>224</v>
      </c>
      <c r="G54" s="16" t="s">
        <v>225</v>
      </c>
    </row>
    <row r="55" spans="2:7">
      <c r="B55" s="6" t="s">
        <v>226</v>
      </c>
      <c r="C55" s="7">
        <v>5</v>
      </c>
      <c r="D55" s="24">
        <v>1002332842.35288</v>
      </c>
      <c r="E55" s="24">
        <v>200466568.470575</v>
      </c>
      <c r="F55" s="24">
        <v>161.990257501782</v>
      </c>
      <c r="G55" s="33" t="s">
        <v>227</v>
      </c>
    </row>
    <row r="56" spans="2:7">
      <c r="B56" s="11" t="s">
        <v>228</v>
      </c>
      <c r="C56" s="20">
        <v>114</v>
      </c>
      <c r="D56" s="12">
        <v>141077550.947125</v>
      </c>
      <c r="E56" s="12">
        <v>1237522.37672917</v>
      </c>
      <c r="F56" s="12"/>
      <c r="G56" s="12"/>
    </row>
    <row r="57" ht="15.15" spans="2:7">
      <c r="B57" s="13" t="s">
        <v>229</v>
      </c>
      <c r="C57" s="21">
        <v>119</v>
      </c>
      <c r="D57" s="14">
        <v>1143410393.3</v>
      </c>
      <c r="E57" s="14"/>
      <c r="F57" s="14"/>
      <c r="G57" s="14"/>
    </row>
    <row r="58" spans="2:2">
      <c r="B58" s="34" t="s">
        <v>230</v>
      </c>
    </row>
    <row r="61" spans="2:2">
      <c r="B61" t="s">
        <v>76</v>
      </c>
    </row>
    <row r="62" ht="15.15"/>
    <row r="63" spans="2:8">
      <c r="B63" s="15" t="s">
        <v>221</v>
      </c>
      <c r="C63" s="16" t="s">
        <v>78</v>
      </c>
      <c r="D63" s="16" t="s">
        <v>231</v>
      </c>
      <c r="E63" s="16" t="s">
        <v>232</v>
      </c>
      <c r="F63" s="16" t="s">
        <v>233</v>
      </c>
      <c r="G63" s="16" t="s">
        <v>234</v>
      </c>
      <c r="H63" s="16" t="s">
        <v>235</v>
      </c>
    </row>
    <row r="64" spans="2:8">
      <c r="B64" s="6" t="s">
        <v>236</v>
      </c>
      <c r="C64" s="24">
        <v>3671.49841634662</v>
      </c>
      <c r="D64" s="24">
        <v>713.595409935216</v>
      </c>
      <c r="E64" s="24">
        <v>5.14507011288083</v>
      </c>
      <c r="F64" s="33" t="s">
        <v>227</v>
      </c>
      <c r="G64" s="24">
        <v>2257.87140539405</v>
      </c>
      <c r="H64" s="24">
        <v>5085.12542729919</v>
      </c>
    </row>
    <row r="65" spans="2:8">
      <c r="B65" s="11" t="s">
        <v>0</v>
      </c>
      <c r="C65" s="12">
        <v>-2090.09553647425</v>
      </c>
      <c r="D65" s="12">
        <v>285.277948847817</v>
      </c>
      <c r="E65" s="12">
        <v>-7.32652329041114</v>
      </c>
      <c r="F65" s="35" t="s">
        <v>227</v>
      </c>
      <c r="G65" s="12">
        <v>-2655.22895592412</v>
      </c>
      <c r="H65" s="12">
        <v>-1524.96211702438</v>
      </c>
    </row>
    <row r="66" spans="2:8">
      <c r="B66" s="11" t="s">
        <v>1</v>
      </c>
      <c r="C66" s="12">
        <v>321.935049960653</v>
      </c>
      <c r="D66" s="12">
        <v>31.4518611972947</v>
      </c>
      <c r="E66" s="12">
        <v>10.2358028334534</v>
      </c>
      <c r="F66" s="35" t="s">
        <v>227</v>
      </c>
      <c r="G66" s="12">
        <v>259.629155171807</v>
      </c>
      <c r="H66" s="12">
        <v>384.240944749499</v>
      </c>
    </row>
    <row r="67" spans="2:8">
      <c r="B67" s="11" t="s">
        <v>2</v>
      </c>
      <c r="C67" s="12">
        <v>35.9855388616068</v>
      </c>
      <c r="D67" s="12">
        <v>3.19523156249705</v>
      </c>
      <c r="E67" s="12">
        <v>11.2622632062023</v>
      </c>
      <c r="F67" s="35" t="s">
        <v>227</v>
      </c>
      <c r="G67" s="12">
        <v>29.6558097460508</v>
      </c>
      <c r="H67" s="12">
        <v>42.3152679771627</v>
      </c>
    </row>
    <row r="68" spans="2:8">
      <c r="B68" s="11" t="s">
        <v>3</v>
      </c>
      <c r="C68" s="12">
        <v>-109.013805205776</v>
      </c>
      <c r="D68" s="12">
        <v>6.7766043314406</v>
      </c>
      <c r="E68" s="12">
        <v>-16.0867891755163</v>
      </c>
      <c r="F68" s="35" t="s">
        <v>227</v>
      </c>
      <c r="G68" s="12">
        <v>-122.438206192789</v>
      </c>
      <c r="H68" s="12">
        <v>-95.5894042187621</v>
      </c>
    </row>
    <row r="69" ht="15.15" spans="2:8">
      <c r="B69" s="13" t="s">
        <v>4</v>
      </c>
      <c r="C69" s="14">
        <v>2.30057749049784</v>
      </c>
      <c r="D69" s="14">
        <v>4.84249178034779</v>
      </c>
      <c r="E69" s="14">
        <v>0.475081341352862</v>
      </c>
      <c r="F69" s="14">
        <v>0.635637939806387</v>
      </c>
      <c r="G69" s="14">
        <v>-7.29236142938242</v>
      </c>
      <c r="H69" s="14">
        <v>11.8935164103781</v>
      </c>
    </row>
    <row r="72" spans="2:2">
      <c r="B72" t="s">
        <v>85</v>
      </c>
    </row>
    <row r="74" spans="2:2">
      <c r="B74" t="s">
        <v>237</v>
      </c>
    </row>
    <row r="77" spans="2:2">
      <c r="B77" t="s">
        <v>238</v>
      </c>
    </row>
    <row r="78" ht="15.15"/>
    <row r="79" spans="2:8">
      <c r="B79" s="15" t="s">
        <v>221</v>
      </c>
      <c r="C79" s="16" t="s">
        <v>78</v>
      </c>
      <c r="D79" s="16" t="s">
        <v>231</v>
      </c>
      <c r="E79" s="16" t="s">
        <v>232</v>
      </c>
      <c r="F79" s="16" t="s">
        <v>233</v>
      </c>
      <c r="G79" s="16" t="s">
        <v>234</v>
      </c>
      <c r="H79" s="16" t="s">
        <v>235</v>
      </c>
    </row>
    <row r="80" spans="2:8">
      <c r="B80" s="6" t="s">
        <v>0</v>
      </c>
      <c r="C80" s="24">
        <v>-0.289863907312439</v>
      </c>
      <c r="D80" s="24">
        <v>0.0395636369151804</v>
      </c>
      <c r="E80" s="24">
        <v>-7.32652329041114</v>
      </c>
      <c r="F80" s="33" t="s">
        <v>227</v>
      </c>
      <c r="G80" s="24">
        <v>-0.368239167321324</v>
      </c>
      <c r="H80" s="24">
        <v>-0.211488647303554</v>
      </c>
    </row>
    <row r="81" spans="2:8">
      <c r="B81" s="11" t="s">
        <v>1</v>
      </c>
      <c r="C81" s="12">
        <v>0.469256183449227</v>
      </c>
      <c r="D81" s="12">
        <v>0.0458445899246485</v>
      </c>
      <c r="E81" s="12">
        <v>10.2358028334534</v>
      </c>
      <c r="F81" s="35" t="s">
        <v>227</v>
      </c>
      <c r="G81" s="12">
        <v>0.378438403904638</v>
      </c>
      <c r="H81" s="12">
        <v>0.560073962993816</v>
      </c>
    </row>
    <row r="82" spans="2:8">
      <c r="B82" s="11" t="s">
        <v>2</v>
      </c>
      <c r="C82" s="12">
        <v>0.371456977505143</v>
      </c>
      <c r="D82" s="12">
        <v>0.0329824450649117</v>
      </c>
      <c r="E82" s="12">
        <v>11.2622632062023</v>
      </c>
      <c r="F82" s="35" t="s">
        <v>227</v>
      </c>
      <c r="G82" s="12">
        <v>0.306119007863142</v>
      </c>
      <c r="H82" s="12">
        <v>0.436794947147144</v>
      </c>
    </row>
    <row r="83" spans="2:8">
      <c r="B83" s="11" t="s">
        <v>3</v>
      </c>
      <c r="C83" s="12">
        <v>-0.529665866664636</v>
      </c>
      <c r="D83" s="12">
        <v>0.032925518006463</v>
      </c>
      <c r="E83" s="12">
        <v>-16.0867891755163</v>
      </c>
      <c r="F83" s="35" t="s">
        <v>227</v>
      </c>
      <c r="G83" s="12">
        <v>-0.594891064242304</v>
      </c>
      <c r="H83" s="12">
        <v>-0.464440669086968</v>
      </c>
    </row>
    <row r="84" ht="15.15" spans="2:8">
      <c r="B84" s="13" t="s">
        <v>4</v>
      </c>
      <c r="C84" s="14">
        <v>0.0191432698314543</v>
      </c>
      <c r="D84" s="14">
        <v>0.0402947204302765</v>
      </c>
      <c r="E84" s="14">
        <v>0.475081341352862</v>
      </c>
      <c r="F84" s="14">
        <v>0.635637939806387</v>
      </c>
      <c r="G84" s="14">
        <v>-0.060680260990013</v>
      </c>
      <c r="H84" s="14">
        <v>0.0989668006529216</v>
      </c>
    </row>
    <row r="106" spans="2:2">
      <c r="B106" t="s">
        <v>87</v>
      </c>
    </row>
    <row r="107" ht="15.15"/>
    <row r="108" spans="2:14">
      <c r="B108" s="15" t="s">
        <v>239</v>
      </c>
      <c r="C108" s="16" t="s">
        <v>240</v>
      </c>
      <c r="D108" s="16" t="s">
        <v>5</v>
      </c>
      <c r="E108" s="16" t="s">
        <v>88</v>
      </c>
      <c r="F108" s="16" t="s">
        <v>241</v>
      </c>
      <c r="G108" s="16" t="s">
        <v>242</v>
      </c>
      <c r="H108" s="16" t="s">
        <v>243</v>
      </c>
      <c r="I108" s="16" t="s">
        <v>244</v>
      </c>
      <c r="J108" s="16" t="s">
        <v>245</v>
      </c>
      <c r="K108" s="16" t="s">
        <v>246</v>
      </c>
      <c r="L108" s="16" t="s">
        <v>247</v>
      </c>
      <c r="M108" s="16" t="s">
        <v>248</v>
      </c>
      <c r="N108" s="16" t="s">
        <v>249</v>
      </c>
    </row>
    <row r="109" spans="2:14">
      <c r="B109" s="6" t="s">
        <v>90</v>
      </c>
      <c r="C109" s="7">
        <v>1</v>
      </c>
      <c r="D109" s="24">
        <v>2405</v>
      </c>
      <c r="E109" s="24">
        <v>3341.50128947756</v>
      </c>
      <c r="F109" s="24">
        <v>-936.501289477558</v>
      </c>
      <c r="G109" s="24">
        <v>-0.841844442915571</v>
      </c>
      <c r="H109" s="24">
        <v>-0.867634389712164</v>
      </c>
      <c r="I109" s="24">
        <v>269.213515772497</v>
      </c>
      <c r="J109" s="24">
        <v>2808.19138822124</v>
      </c>
      <c r="K109" s="24">
        <v>3874.81119073387</v>
      </c>
      <c r="L109" s="24">
        <v>1144.55156887043</v>
      </c>
      <c r="M109" s="24">
        <v>1074.15344690909</v>
      </c>
      <c r="N109" s="24">
        <v>5608.84913204603</v>
      </c>
    </row>
    <row r="110" spans="2:14">
      <c r="B110" s="11" t="s">
        <v>91</v>
      </c>
      <c r="C110" s="20">
        <v>1</v>
      </c>
      <c r="D110" s="12">
        <v>3201</v>
      </c>
      <c r="E110" s="12">
        <v>3521.42898378559</v>
      </c>
      <c r="F110" s="12">
        <v>-320.428983785591</v>
      </c>
      <c r="G110" s="12">
        <v>-0.288041631527778</v>
      </c>
      <c r="H110" s="12">
        <v>-0.296276379964794</v>
      </c>
      <c r="I110" s="12">
        <v>260.452964915935</v>
      </c>
      <c r="J110" s="12">
        <v>3005.47366630215</v>
      </c>
      <c r="K110" s="12">
        <v>4037.38430126903</v>
      </c>
      <c r="L110" s="12">
        <v>1142.52270159619</v>
      </c>
      <c r="M110" s="12">
        <v>1258.10031166099</v>
      </c>
      <c r="N110" s="12">
        <v>5784.75765591019</v>
      </c>
    </row>
    <row r="111" spans="2:14">
      <c r="B111" s="11" t="s">
        <v>92</v>
      </c>
      <c r="C111" s="20">
        <v>1</v>
      </c>
      <c r="D111" s="12">
        <v>3260</v>
      </c>
      <c r="E111" s="12">
        <v>3701.35667809362</v>
      </c>
      <c r="F111" s="12">
        <v>-441.356678093625</v>
      </c>
      <c r="G111" s="12">
        <v>-0.396746561880413</v>
      </c>
      <c r="H111" s="12">
        <v>-0.407370550246602</v>
      </c>
      <c r="I111" s="12">
        <v>252.400578504316</v>
      </c>
      <c r="J111" s="12">
        <v>3201.35307607193</v>
      </c>
      <c r="K111" s="12">
        <v>4201.36028011532</v>
      </c>
      <c r="L111" s="12">
        <v>1140.71399954523</v>
      </c>
      <c r="M111" s="12">
        <v>1441.61103080131</v>
      </c>
      <c r="N111" s="12">
        <v>5961.10232538594</v>
      </c>
    </row>
    <row r="112" spans="2:14">
      <c r="B112" s="11" t="s">
        <v>93</v>
      </c>
      <c r="C112" s="20">
        <v>1</v>
      </c>
      <c r="D112" s="12">
        <v>3302</v>
      </c>
      <c r="E112" s="12">
        <v>3881.28437240166</v>
      </c>
      <c r="F112" s="12">
        <v>-579.284372401659</v>
      </c>
      <c r="G112" s="12">
        <v>-0.520733217619192</v>
      </c>
      <c r="H112" s="12">
        <v>-0.53385491006078</v>
      </c>
      <c r="I112" s="12">
        <v>245.126156013641</v>
      </c>
      <c r="J112" s="12">
        <v>3395.69134530621</v>
      </c>
      <c r="K112" s="12">
        <v>4366.8773994971</v>
      </c>
      <c r="L112" s="12">
        <v>1139.12651145129</v>
      </c>
      <c r="M112" s="12">
        <v>1624.68352679657</v>
      </c>
      <c r="N112" s="12">
        <v>6137.88521800675</v>
      </c>
    </row>
    <row r="113" spans="2:14">
      <c r="B113" s="11" t="s">
        <v>94</v>
      </c>
      <c r="C113" s="20">
        <v>1</v>
      </c>
      <c r="D113" s="12">
        <v>3422</v>
      </c>
      <c r="E113" s="12">
        <v>4061.21206670969</v>
      </c>
      <c r="F113" s="12">
        <v>-639.212066709693</v>
      </c>
      <c r="G113" s="12">
        <v>-0.574603721586256</v>
      </c>
      <c r="H113" s="12">
        <v>-0.588306738028915</v>
      </c>
      <c r="I113" s="12">
        <v>238.700833537785</v>
      </c>
      <c r="J113" s="12">
        <v>3588.34755395093</v>
      </c>
      <c r="K113" s="12">
        <v>4534.07657946846</v>
      </c>
      <c r="L113" s="12">
        <v>1137.76116327672</v>
      </c>
      <c r="M113" s="12">
        <v>1807.31596532248</v>
      </c>
      <c r="N113" s="12">
        <v>6315.1081680969</v>
      </c>
    </row>
    <row r="114" spans="2:14">
      <c r="B114" s="11" t="s">
        <v>95</v>
      </c>
      <c r="C114" s="20">
        <v>1</v>
      </c>
      <c r="D114" s="12">
        <v>4825</v>
      </c>
      <c r="E114" s="12">
        <v>4421.06745532576</v>
      </c>
      <c r="F114" s="12">
        <v>403.93254467424</v>
      </c>
      <c r="G114" s="12">
        <v>0.363105071896331</v>
      </c>
      <c r="H114" s="12">
        <v>0.371028664575556</v>
      </c>
      <c r="I114" s="12">
        <v>228.674495258104</v>
      </c>
      <c r="J114" s="12">
        <v>3968.06504147594</v>
      </c>
      <c r="K114" s="12">
        <v>4874.06986917558</v>
      </c>
      <c r="L114" s="12">
        <v>1135.69996104196</v>
      </c>
      <c r="M114" s="12">
        <v>2171.25457969018</v>
      </c>
      <c r="N114" s="12">
        <v>6670.88033096134</v>
      </c>
    </row>
    <row r="115" spans="2:14">
      <c r="B115" s="11" t="s">
        <v>96</v>
      </c>
      <c r="C115" s="20">
        <v>1</v>
      </c>
      <c r="D115" s="12">
        <v>4865</v>
      </c>
      <c r="E115" s="12">
        <v>4600.99514963379</v>
      </c>
      <c r="F115" s="12">
        <v>264.004850366206</v>
      </c>
      <c r="G115" s="12">
        <v>0.237320566112123</v>
      </c>
      <c r="H115" s="12">
        <v>0.242338119547521</v>
      </c>
      <c r="I115" s="12">
        <v>225.199258573057</v>
      </c>
      <c r="J115" s="12">
        <v>4154.8771528907</v>
      </c>
      <c r="K115" s="12">
        <v>5047.11314637689</v>
      </c>
      <c r="L115" s="12">
        <v>1135.00532280295</v>
      </c>
      <c r="M115" s="12">
        <v>2352.55834699958</v>
      </c>
      <c r="N115" s="12">
        <v>6849.43195226801</v>
      </c>
    </row>
    <row r="116" spans="2:14">
      <c r="B116" s="11" t="s">
        <v>97</v>
      </c>
      <c r="C116" s="20">
        <v>1</v>
      </c>
      <c r="D116" s="12">
        <v>4884</v>
      </c>
      <c r="E116" s="12">
        <v>4780.92284394183</v>
      </c>
      <c r="F116" s="12">
        <v>103.077156058172</v>
      </c>
      <c r="G116" s="12">
        <v>0.0926586348509166</v>
      </c>
      <c r="H116" s="12">
        <v>0.0945751732101848</v>
      </c>
      <c r="I116" s="12">
        <v>222.81800326513</v>
      </c>
      <c r="J116" s="12">
        <v>4339.52209562325</v>
      </c>
      <c r="K116" s="12">
        <v>5222.3235922604</v>
      </c>
      <c r="L116" s="12">
        <v>1134.53525256302</v>
      </c>
      <c r="M116" s="12">
        <v>2533.41724683243</v>
      </c>
      <c r="N116" s="12">
        <v>7028.42844105123</v>
      </c>
    </row>
    <row r="117" spans="2:14">
      <c r="B117" s="11" t="s">
        <v>98</v>
      </c>
      <c r="C117" s="20">
        <v>1</v>
      </c>
      <c r="D117" s="12">
        <v>5510</v>
      </c>
      <c r="E117" s="12">
        <v>4960.85053824986</v>
      </c>
      <c r="F117" s="12">
        <v>549.149461750138</v>
      </c>
      <c r="G117" s="12">
        <v>0.49364419237728</v>
      </c>
      <c r="H117" s="12">
        <v>0.503736705921337</v>
      </c>
      <c r="I117" s="12">
        <v>221.566004461793</v>
      </c>
      <c r="J117" s="12">
        <v>4521.92998991777</v>
      </c>
      <c r="K117" s="12">
        <v>5399.77108658195</v>
      </c>
      <c r="L117" s="12">
        <v>1134.29002951729</v>
      </c>
      <c r="M117" s="12">
        <v>2713.83072610533</v>
      </c>
      <c r="N117" s="12">
        <v>7207.87035039439</v>
      </c>
    </row>
    <row r="118" spans="2:14">
      <c r="B118" s="11" t="s">
        <v>99</v>
      </c>
      <c r="C118" s="20">
        <v>1</v>
      </c>
      <c r="D118" s="12">
        <v>5642</v>
      </c>
      <c r="E118" s="12">
        <v>5500.63362117396</v>
      </c>
      <c r="F118" s="12">
        <v>141.366378826036</v>
      </c>
      <c r="G118" s="12">
        <v>0.127077775297231</v>
      </c>
      <c r="H118" s="12">
        <v>0.129751976028593</v>
      </c>
      <c r="I118" s="12">
        <v>224.689209836315</v>
      </c>
      <c r="J118" s="12">
        <v>5055.52602704995</v>
      </c>
      <c r="K118" s="12">
        <v>5945.74121529798</v>
      </c>
      <c r="L118" s="12">
        <v>1134.90423285228</v>
      </c>
      <c r="M118" s="12">
        <v>3252.39707695341</v>
      </c>
      <c r="N118" s="12">
        <v>7748.87016539451</v>
      </c>
    </row>
    <row r="119" spans="2:14">
      <c r="B119" s="11" t="s">
        <v>100</v>
      </c>
      <c r="C119" s="20">
        <v>1</v>
      </c>
      <c r="D119" s="12">
        <v>5675</v>
      </c>
      <c r="E119" s="12">
        <v>5680.561315482</v>
      </c>
      <c r="F119" s="12">
        <v>-5.56131548199664</v>
      </c>
      <c r="G119" s="12">
        <v>-0.00499920564597514</v>
      </c>
      <c r="H119" s="12">
        <v>-0.00510760497564134</v>
      </c>
      <c r="I119" s="12">
        <v>227.970993151688</v>
      </c>
      <c r="J119" s="12">
        <v>5228.9525338866</v>
      </c>
      <c r="K119" s="12">
        <v>6132.17009707739</v>
      </c>
      <c r="L119" s="12">
        <v>1135.55851916479</v>
      </c>
      <c r="M119" s="12">
        <v>3431.0286351157</v>
      </c>
      <c r="N119" s="12">
        <v>7930.09399584829</v>
      </c>
    </row>
    <row r="120" spans="2:14">
      <c r="B120" s="11" t="s">
        <v>101</v>
      </c>
      <c r="C120" s="20">
        <v>1</v>
      </c>
      <c r="D120" s="12">
        <v>5685</v>
      </c>
      <c r="E120" s="12">
        <v>5860.48900979003</v>
      </c>
      <c r="F120" s="12">
        <v>-175.48900979003</v>
      </c>
      <c r="G120" s="12">
        <v>-0.15775146211161</v>
      </c>
      <c r="H120" s="12">
        <v>-0.161307883170932</v>
      </c>
      <c r="I120" s="12">
        <v>232.307515283439</v>
      </c>
      <c r="J120" s="12">
        <v>5400.28961125163</v>
      </c>
      <c r="K120" s="12">
        <v>6320.68840832842</v>
      </c>
      <c r="L120" s="12">
        <v>1136.43704550069</v>
      </c>
      <c r="M120" s="12">
        <v>3609.21597551876</v>
      </c>
      <c r="N120" s="12">
        <v>8111.7620440613</v>
      </c>
    </row>
    <row r="121" spans="2:14">
      <c r="B121" s="11" t="s">
        <v>102</v>
      </c>
      <c r="C121" s="20">
        <v>1</v>
      </c>
      <c r="D121" s="12">
        <v>5698</v>
      </c>
      <c r="E121" s="12">
        <v>6040.41670409806</v>
      </c>
      <c r="F121" s="12">
        <v>-342.416704098065</v>
      </c>
      <c r="G121" s="12">
        <v>-0.307806943509103</v>
      </c>
      <c r="H121" s="12">
        <v>-0.315080092285516</v>
      </c>
      <c r="I121" s="12">
        <v>237.641041978573</v>
      </c>
      <c r="J121" s="12">
        <v>5569.65163025556</v>
      </c>
      <c r="K121" s="12">
        <v>6511.18177794057</v>
      </c>
      <c r="L121" s="12">
        <v>1137.53929231558</v>
      </c>
      <c r="M121" s="12">
        <v>3786.96012737602</v>
      </c>
      <c r="N121" s="12">
        <v>8293.87328082011</v>
      </c>
    </row>
    <row r="122" spans="2:14">
      <c r="B122" s="11" t="s">
        <v>103</v>
      </c>
      <c r="C122" s="20">
        <v>1</v>
      </c>
      <c r="D122" s="12">
        <v>5758</v>
      </c>
      <c r="E122" s="12">
        <v>6220.3443984061</v>
      </c>
      <c r="F122" s="12">
        <v>-462.344398406098</v>
      </c>
      <c r="G122" s="12">
        <v>-0.415612948839024</v>
      </c>
      <c r="H122" s="12">
        <v>-0.425977860622467</v>
      </c>
      <c r="I122" s="12">
        <v>243.906177135918</v>
      </c>
      <c r="J122" s="12">
        <v>5737.16814007111</v>
      </c>
      <c r="K122" s="12">
        <v>6703.52065674108</v>
      </c>
      <c r="L122" s="12">
        <v>1138.864610028</v>
      </c>
      <c r="M122" s="12">
        <v>3964.26237750338</v>
      </c>
      <c r="N122" s="12">
        <v>8476.42641930881</v>
      </c>
    </row>
    <row r="123" spans="2:14">
      <c r="B123" s="11" t="s">
        <v>104</v>
      </c>
      <c r="C123" s="20">
        <v>1</v>
      </c>
      <c r="D123" s="12">
        <v>5852</v>
      </c>
      <c r="E123" s="12">
        <v>6760.1274813302</v>
      </c>
      <c r="F123" s="12">
        <v>-908.127481330199</v>
      </c>
      <c r="G123" s="12">
        <v>-0.816338516782216</v>
      </c>
      <c r="H123" s="12">
        <v>-0.841032416039712</v>
      </c>
      <c r="I123" s="12">
        <v>267.589143844885</v>
      </c>
      <c r="J123" s="12">
        <v>6230.03544835153</v>
      </c>
      <c r="K123" s="12">
        <v>7290.21951430886</v>
      </c>
      <c r="L123" s="12">
        <v>1144.17058458641</v>
      </c>
      <c r="M123" s="12">
        <v>4493.53436569402</v>
      </c>
      <c r="N123" s="12">
        <v>9026.72059696638</v>
      </c>
    </row>
    <row r="124" spans="2:14">
      <c r="B124" s="11" t="s">
        <v>105</v>
      </c>
      <c r="C124" s="20">
        <v>1</v>
      </c>
      <c r="D124" s="12">
        <v>5859</v>
      </c>
      <c r="E124" s="12">
        <v>6940.05517563823</v>
      </c>
      <c r="F124" s="12">
        <v>-1081.05517563823</v>
      </c>
      <c r="G124" s="12">
        <v>-0.971787548315995</v>
      </c>
      <c r="H124" s="12">
        <v>-1.00336285181727</v>
      </c>
      <c r="I124" s="12">
        <v>276.88049635832</v>
      </c>
      <c r="J124" s="12">
        <v>6391.55704489268</v>
      </c>
      <c r="K124" s="12">
        <v>7488.55330638379</v>
      </c>
      <c r="L124" s="12">
        <v>1146.37916327574</v>
      </c>
      <c r="M124" s="12">
        <v>4669.086882629</v>
      </c>
      <c r="N124" s="12">
        <v>9211.02346864747</v>
      </c>
    </row>
    <row r="125" spans="2:14">
      <c r="B125" s="11" t="s">
        <v>106</v>
      </c>
      <c r="C125" s="20">
        <v>1</v>
      </c>
      <c r="D125" s="12">
        <v>944</v>
      </c>
      <c r="E125" s="12">
        <v>71.0871333042905</v>
      </c>
      <c r="F125" s="12">
        <v>872.912866695709</v>
      </c>
      <c r="G125" s="12">
        <v>0.784683218522032</v>
      </c>
      <c r="H125" s="12">
        <v>0.809057264617386</v>
      </c>
      <c r="I125" s="12">
        <v>271.000370565819</v>
      </c>
      <c r="J125" s="12">
        <v>-465.762513535194</v>
      </c>
      <c r="K125" s="12">
        <v>607.936780143775</v>
      </c>
      <c r="L125" s="12">
        <v>1144.97317766661</v>
      </c>
      <c r="M125" s="12">
        <v>-2197.09591304218</v>
      </c>
      <c r="N125" s="12">
        <v>2339.27017965076</v>
      </c>
    </row>
    <row r="126" spans="2:14">
      <c r="B126" s="11" t="s">
        <v>107</v>
      </c>
      <c r="C126" s="20">
        <v>1</v>
      </c>
      <c r="D126" s="12">
        <v>975</v>
      </c>
      <c r="E126" s="12">
        <v>251.014827612324</v>
      </c>
      <c r="F126" s="12">
        <v>723.985172387676</v>
      </c>
      <c r="G126" s="12">
        <v>0.650808387533398</v>
      </c>
      <c r="H126" s="12">
        <v>0.669662023697499</v>
      </c>
      <c r="I126" s="12">
        <v>262.10949717605</v>
      </c>
      <c r="J126" s="12">
        <v>-268.22206751975</v>
      </c>
      <c r="K126" s="12">
        <v>770.251722744397</v>
      </c>
      <c r="L126" s="12">
        <v>1142.9014678611</v>
      </c>
      <c r="M126" s="12">
        <v>-2013.06417756578</v>
      </c>
      <c r="N126" s="12">
        <v>2515.09383279043</v>
      </c>
    </row>
    <row r="127" spans="2:14">
      <c r="B127" s="11" t="s">
        <v>108</v>
      </c>
      <c r="C127" s="20">
        <v>1</v>
      </c>
      <c r="D127" s="12">
        <v>987</v>
      </c>
      <c r="E127" s="12">
        <v>430.942521920358</v>
      </c>
      <c r="F127" s="12">
        <v>556.057478079642</v>
      </c>
      <c r="G127" s="12">
        <v>0.499853981113191</v>
      </c>
      <c r="H127" s="12">
        <v>0.513406500913844</v>
      </c>
      <c r="I127" s="12">
        <v>253.913472288989</v>
      </c>
      <c r="J127" s="12">
        <v>-72.0581110364295</v>
      </c>
      <c r="K127" s="12">
        <v>933.943154877145</v>
      </c>
      <c r="L127" s="12">
        <v>1141.04970449977</v>
      </c>
      <c r="M127" s="12">
        <v>-1829.46815430129</v>
      </c>
      <c r="N127" s="12">
        <v>2691.35319814201</v>
      </c>
    </row>
    <row r="128" spans="2:14">
      <c r="B128" s="11" t="s">
        <v>109</v>
      </c>
      <c r="C128" s="20">
        <v>1</v>
      </c>
      <c r="D128" s="12">
        <v>1075</v>
      </c>
      <c r="E128" s="12">
        <v>790.797910536426</v>
      </c>
      <c r="F128" s="12">
        <v>284.202089463574</v>
      </c>
      <c r="G128" s="12">
        <v>0.255476369726491</v>
      </c>
      <c r="H128" s="12">
        <v>0.261631716113326</v>
      </c>
      <c r="I128" s="12">
        <v>239.884978521971</v>
      </c>
      <c r="J128" s="12">
        <v>315.587615684303</v>
      </c>
      <c r="K128" s="12">
        <v>1266.00820538855</v>
      </c>
      <c r="L128" s="12">
        <v>1138.01018433477</v>
      </c>
      <c r="M128" s="12">
        <v>-1463.59149964881</v>
      </c>
      <c r="N128" s="12">
        <v>3045.18732072166</v>
      </c>
    </row>
    <row r="129" spans="2:14">
      <c r="B129" s="11" t="s">
        <v>110</v>
      </c>
      <c r="C129" s="20">
        <v>1</v>
      </c>
      <c r="D129" s="12">
        <v>1220</v>
      </c>
      <c r="E129" s="12">
        <v>970.72560484446</v>
      </c>
      <c r="F129" s="12">
        <v>249.27439515554</v>
      </c>
      <c r="G129" s="12">
        <v>0.224078991327284</v>
      </c>
      <c r="H129" s="12">
        <v>0.229215970602889</v>
      </c>
      <c r="I129" s="12">
        <v>234.194132145006</v>
      </c>
      <c r="J129" s="12">
        <v>506.788832834069</v>
      </c>
      <c r="K129" s="12">
        <v>1434.66237685485</v>
      </c>
      <c r="L129" s="12">
        <v>1136.82420288289</v>
      </c>
      <c r="M129" s="12">
        <v>-1281.31438521906</v>
      </c>
      <c r="N129" s="12">
        <v>3222.76559490798</v>
      </c>
    </row>
    <row r="130" spans="2:14">
      <c r="B130" s="11" t="s">
        <v>111</v>
      </c>
      <c r="C130" s="20">
        <v>1</v>
      </c>
      <c r="D130" s="12">
        <v>2140</v>
      </c>
      <c r="E130" s="12">
        <v>1510.50868776856</v>
      </c>
      <c r="F130" s="12">
        <v>629.491312231439</v>
      </c>
      <c r="G130" s="12">
        <v>0.565865492146092</v>
      </c>
      <c r="H130" s="12">
        <v>0.577610658012991</v>
      </c>
      <c r="I130" s="12">
        <v>223.195001701524</v>
      </c>
      <c r="J130" s="12">
        <v>1068.36110845114</v>
      </c>
      <c r="K130" s="12">
        <v>1952.65626708598</v>
      </c>
      <c r="L130" s="12">
        <v>1134.60935370448</v>
      </c>
      <c r="M130" s="12">
        <v>-737.143703131363</v>
      </c>
      <c r="N130" s="12">
        <v>3758.16107866848</v>
      </c>
    </row>
    <row r="131" spans="2:14">
      <c r="B131" s="11" t="s">
        <v>112</v>
      </c>
      <c r="C131" s="20">
        <v>1</v>
      </c>
      <c r="D131" s="12">
        <v>2156</v>
      </c>
      <c r="E131" s="12">
        <v>1690.43638207659</v>
      </c>
      <c r="F131" s="12">
        <v>465.563617923405</v>
      </c>
      <c r="G131" s="12">
        <v>0.418506785816742</v>
      </c>
      <c r="H131" s="12">
        <v>0.427075430475792</v>
      </c>
      <c r="I131" s="12">
        <v>221.720541093524</v>
      </c>
      <c r="J131" s="12">
        <v>1251.20969786729</v>
      </c>
      <c r="K131" s="12">
        <v>2129.6630662859</v>
      </c>
      <c r="L131" s="12">
        <v>1134.32022598205</v>
      </c>
      <c r="M131" s="12">
        <v>-556.643249032055</v>
      </c>
      <c r="N131" s="12">
        <v>3937.51601318524</v>
      </c>
    </row>
    <row r="132" spans="2:14">
      <c r="B132" s="11" t="s">
        <v>113</v>
      </c>
      <c r="C132" s="20">
        <v>1</v>
      </c>
      <c r="D132" s="12">
        <v>2210</v>
      </c>
      <c r="E132" s="12">
        <v>1870.36407638463</v>
      </c>
      <c r="F132" s="12">
        <v>339.635923615371</v>
      </c>
      <c r="G132" s="12">
        <v>0.305307230350535</v>
      </c>
      <c r="H132" s="12">
        <v>0.311539114278471</v>
      </c>
      <c r="I132" s="12">
        <v>221.392102700085</v>
      </c>
      <c r="J132" s="12">
        <v>1431.78802610308</v>
      </c>
      <c r="K132" s="12">
        <v>2308.94012666617</v>
      </c>
      <c r="L132" s="12">
        <v>1134.25607332169</v>
      </c>
      <c r="M132" s="12">
        <v>-376.588468797945</v>
      </c>
      <c r="N132" s="12">
        <v>4117.3166215672</v>
      </c>
    </row>
    <row r="133" spans="2:14">
      <c r="B133" s="11" t="s">
        <v>114</v>
      </c>
      <c r="C133" s="20">
        <v>1</v>
      </c>
      <c r="D133" s="12">
        <v>2275</v>
      </c>
      <c r="E133" s="12">
        <v>2050.29177069266</v>
      </c>
      <c r="F133" s="12">
        <v>224.708229307338</v>
      </c>
      <c r="G133" s="12">
        <v>0.201995850134186</v>
      </c>
      <c r="H133" s="12">
        <v>0.20615061061554</v>
      </c>
      <c r="I133" s="12">
        <v>222.214768118648</v>
      </c>
      <c r="J133" s="12">
        <v>1610.08602655314</v>
      </c>
      <c r="K133" s="12">
        <v>2490.49751483219</v>
      </c>
      <c r="L133" s="12">
        <v>1134.41693389123</v>
      </c>
      <c r="M133" s="12">
        <v>-196.979438039235</v>
      </c>
      <c r="N133" s="12">
        <v>4297.56297942456</v>
      </c>
    </row>
    <row r="134" spans="2:14">
      <c r="B134" s="11" t="s">
        <v>115</v>
      </c>
      <c r="C134" s="20">
        <v>1</v>
      </c>
      <c r="D134" s="12">
        <v>2310</v>
      </c>
      <c r="E134" s="12">
        <v>2230.2194650007</v>
      </c>
      <c r="F134" s="12">
        <v>79.7805349993041</v>
      </c>
      <c r="G134" s="12">
        <v>0.0717167192364073</v>
      </c>
      <c r="H134" s="12">
        <v>0.0732188062312473</v>
      </c>
      <c r="I134" s="12">
        <v>224.175864978776</v>
      </c>
      <c r="J134" s="12">
        <v>1786.12880308567</v>
      </c>
      <c r="K134" s="12">
        <v>2674.31012691572</v>
      </c>
      <c r="L134" s="12">
        <v>1134.80271200246</v>
      </c>
      <c r="M134" s="12">
        <v>-17.8159671982744</v>
      </c>
      <c r="N134" s="12">
        <v>4478.25489719967</v>
      </c>
    </row>
    <row r="135" spans="2:14">
      <c r="B135" s="11" t="s">
        <v>116</v>
      </c>
      <c r="C135" s="20">
        <v>1</v>
      </c>
      <c r="D135" s="12">
        <v>2321</v>
      </c>
      <c r="E135" s="12">
        <v>2410.14715930873</v>
      </c>
      <c r="F135" s="12">
        <v>-89.1471593087299</v>
      </c>
      <c r="G135" s="12">
        <v>-0.080136612206514</v>
      </c>
      <c r="H135" s="12">
        <v>-0.0818628445099494</v>
      </c>
      <c r="I135" s="12">
        <v>227.245921734229</v>
      </c>
      <c r="J135" s="12">
        <v>1959.9747386068</v>
      </c>
      <c r="K135" s="12">
        <v>2860.31958001066</v>
      </c>
      <c r="L135" s="12">
        <v>1135.41317839543</v>
      </c>
      <c r="M135" s="12">
        <v>160.902397887128</v>
      </c>
      <c r="N135" s="12">
        <v>4659.39192073033</v>
      </c>
    </row>
    <row r="136" spans="2:14">
      <c r="B136" s="11" t="s">
        <v>117</v>
      </c>
      <c r="C136" s="20">
        <v>1</v>
      </c>
      <c r="D136" s="12">
        <v>2776</v>
      </c>
      <c r="E136" s="12">
        <v>2590.07485361676</v>
      </c>
      <c r="F136" s="12">
        <v>185.925146383237</v>
      </c>
      <c r="G136" s="12">
        <v>0.167132766435708</v>
      </c>
      <c r="H136" s="12">
        <v>0.170869668370483</v>
      </c>
      <c r="I136" s="12">
        <v>231.380800170617</v>
      </c>
      <c r="J136" s="12">
        <v>2131.71127057929</v>
      </c>
      <c r="K136" s="12">
        <v>3048.43843665424</v>
      </c>
      <c r="L136" s="12">
        <v>1136.24797091865</v>
      </c>
      <c r="M136" s="12">
        <v>339.176374636239</v>
      </c>
      <c r="N136" s="12">
        <v>4840.97333259729</v>
      </c>
    </row>
    <row r="137" spans="2:14">
      <c r="B137" s="11" t="s">
        <v>118</v>
      </c>
      <c r="C137" s="20">
        <v>1</v>
      </c>
      <c r="D137" s="12">
        <v>3202</v>
      </c>
      <c r="E137" s="12">
        <v>2770.0025479248</v>
      </c>
      <c r="F137" s="12">
        <v>431.997452075202</v>
      </c>
      <c r="G137" s="12">
        <v>0.388333319419214</v>
      </c>
      <c r="H137" s="12">
        <v>0.397420167930185</v>
      </c>
      <c r="I137" s="12">
        <v>236.524661858441</v>
      </c>
      <c r="J137" s="12">
        <v>2301.44901450189</v>
      </c>
      <c r="K137" s="12">
        <v>3238.55608134771</v>
      </c>
      <c r="L137" s="12">
        <v>1137.30659560051</v>
      </c>
      <c r="M137" s="12">
        <v>517.006941603077</v>
      </c>
      <c r="N137" s="12">
        <v>5022.99815424652</v>
      </c>
    </row>
    <row r="138" spans="2:14">
      <c r="B138" s="11" t="s">
        <v>119</v>
      </c>
      <c r="C138" s="20">
        <v>1</v>
      </c>
      <c r="D138" s="12">
        <v>3288</v>
      </c>
      <c r="E138" s="12">
        <v>3309.7856308489</v>
      </c>
      <c r="F138" s="12">
        <v>-21.785630848899</v>
      </c>
      <c r="G138" s="12">
        <v>-0.0195836487056916</v>
      </c>
      <c r="H138" s="12">
        <v>-0.0201296850338666</v>
      </c>
      <c r="I138" s="12">
        <v>257.346633993155</v>
      </c>
      <c r="J138" s="12">
        <v>2799.98393099845</v>
      </c>
      <c r="K138" s="12">
        <v>3819.58733069934</v>
      </c>
      <c r="L138" s="12">
        <v>1141.81857874041</v>
      </c>
      <c r="M138" s="12">
        <v>1047.85182067843</v>
      </c>
      <c r="N138" s="12">
        <v>5571.71944101937</v>
      </c>
    </row>
    <row r="139" spans="2:14">
      <c r="B139" s="11" t="s">
        <v>120</v>
      </c>
      <c r="C139" s="20">
        <v>1</v>
      </c>
      <c r="D139" s="12">
        <v>3334</v>
      </c>
      <c r="E139" s="12">
        <v>3489.71332515693</v>
      </c>
      <c r="F139" s="12">
        <v>-155.713325156932</v>
      </c>
      <c r="G139" s="12">
        <v>-0.139974604353612</v>
      </c>
      <c r="H139" s="12">
        <v>-0.144151426293426</v>
      </c>
      <c r="I139" s="12">
        <v>265.849641630108</v>
      </c>
      <c r="J139" s="12">
        <v>2963.06723266805</v>
      </c>
      <c r="K139" s="12">
        <v>4016.35941764581</v>
      </c>
      <c r="L139" s="12">
        <v>1143.7650146267</v>
      </c>
      <c r="M139" s="12">
        <v>1223.92364048722</v>
      </c>
      <c r="N139" s="12">
        <v>5755.50300982665</v>
      </c>
    </row>
    <row r="140" spans="2:14">
      <c r="B140" s="11" t="s">
        <v>121</v>
      </c>
      <c r="C140" s="20">
        <v>1</v>
      </c>
      <c r="D140" s="12">
        <v>3323</v>
      </c>
      <c r="E140" s="12">
        <v>3669.64101946497</v>
      </c>
      <c r="F140" s="12">
        <v>-346.641019464967</v>
      </c>
      <c r="G140" s="12">
        <v>-0.311604286296248</v>
      </c>
      <c r="H140" s="12">
        <v>-0.321586628925416</v>
      </c>
      <c r="I140" s="12">
        <v>275.0186341305</v>
      </c>
      <c r="J140" s="12">
        <v>3124.83122345261</v>
      </c>
      <c r="K140" s="12">
        <v>4214.45081547732</v>
      </c>
      <c r="L140" s="12">
        <v>1145.93089924662</v>
      </c>
      <c r="M140" s="12">
        <v>1399.56073404489</v>
      </c>
      <c r="N140" s="12">
        <v>5939.72130488505</v>
      </c>
    </row>
    <row r="141" spans="2:14">
      <c r="B141" s="11" t="s">
        <v>122</v>
      </c>
      <c r="C141" s="20">
        <v>1</v>
      </c>
      <c r="D141" s="12">
        <v>4205</v>
      </c>
      <c r="E141" s="12">
        <v>6238.91673912344</v>
      </c>
      <c r="F141" s="12">
        <v>-2033.91673912344</v>
      </c>
      <c r="G141" s="12">
        <v>-1.8283386509155</v>
      </c>
      <c r="H141" s="12">
        <v>-1.88861037524099</v>
      </c>
      <c r="I141" s="12">
        <v>278.794543718968</v>
      </c>
      <c r="J141" s="12">
        <v>5686.62689529847</v>
      </c>
      <c r="K141" s="12">
        <v>6791.2065829484</v>
      </c>
      <c r="L141" s="12">
        <v>1146.8429597537</v>
      </c>
      <c r="M141" s="12">
        <v>3967.02966886354</v>
      </c>
      <c r="N141" s="12">
        <v>8510.80380938333</v>
      </c>
    </row>
    <row r="142" spans="2:14">
      <c r="B142" s="11" t="s">
        <v>123</v>
      </c>
      <c r="C142" s="20">
        <v>1</v>
      </c>
      <c r="D142" s="12">
        <v>5201</v>
      </c>
      <c r="E142" s="12">
        <v>6418.84443343147</v>
      </c>
      <c r="F142" s="12">
        <v>-1217.84443343147</v>
      </c>
      <c r="G142" s="12">
        <v>-1.09475083498485</v>
      </c>
      <c r="H142" s="12">
        <v>-1.12838991642614</v>
      </c>
      <c r="I142" s="12">
        <v>269.601856023103</v>
      </c>
      <c r="J142" s="12">
        <v>5884.76523312971</v>
      </c>
      <c r="K142" s="12">
        <v>6952.92363373323</v>
      </c>
      <c r="L142" s="12">
        <v>1144.64297381335</v>
      </c>
      <c r="M142" s="12">
        <v>4151.31551837507</v>
      </c>
      <c r="N142" s="12">
        <v>8686.37334848787</v>
      </c>
    </row>
    <row r="143" spans="2:14">
      <c r="B143" s="11" t="s">
        <v>124</v>
      </c>
      <c r="C143" s="20">
        <v>1</v>
      </c>
      <c r="D143" s="12">
        <v>5789</v>
      </c>
      <c r="E143" s="12">
        <v>6598.7721277395</v>
      </c>
      <c r="F143" s="12">
        <v>-809.772127739505</v>
      </c>
      <c r="G143" s="12">
        <v>-0.72792442832163</v>
      </c>
      <c r="H143" s="12">
        <v>-0.748836881389487</v>
      </c>
      <c r="I143" s="12">
        <v>261.063975246749</v>
      </c>
      <c r="J143" s="12">
        <v>6081.60640349674</v>
      </c>
      <c r="K143" s="12">
        <v>7115.93785198227</v>
      </c>
      <c r="L143" s="12">
        <v>1142.66214424947</v>
      </c>
      <c r="M143" s="12">
        <v>4335.16722079275</v>
      </c>
      <c r="N143" s="12">
        <v>8862.37703468626</v>
      </c>
    </row>
    <row r="144" spans="2:14">
      <c r="B144" s="11" t="s">
        <v>125</v>
      </c>
      <c r="C144" s="20">
        <v>1</v>
      </c>
      <c r="D144" s="12">
        <v>7422</v>
      </c>
      <c r="E144" s="12">
        <v>6958.62751635557</v>
      </c>
      <c r="F144" s="12">
        <v>463.372483644429</v>
      </c>
      <c r="G144" s="12">
        <v>0.416537120385243</v>
      </c>
      <c r="H144" s="12">
        <v>0.427130726453194</v>
      </c>
      <c r="I144" s="12">
        <v>246.220026974652</v>
      </c>
      <c r="J144" s="12">
        <v>6470.86753931138</v>
      </c>
      <c r="K144" s="12">
        <v>7446.38749339976</v>
      </c>
      <c r="L144" s="12">
        <v>1139.36239994681</v>
      </c>
      <c r="M144" s="12">
        <v>4701.55937745767</v>
      </c>
      <c r="N144" s="12">
        <v>9215.69565525347</v>
      </c>
    </row>
    <row r="145" spans="2:14">
      <c r="B145" s="11" t="s">
        <v>126</v>
      </c>
      <c r="C145" s="20">
        <v>1</v>
      </c>
      <c r="D145" s="12">
        <v>8731</v>
      </c>
      <c r="E145" s="12">
        <v>7138.55521066361</v>
      </c>
      <c r="F145" s="12">
        <v>1592.44478933639</v>
      </c>
      <c r="G145" s="12">
        <v>1.43148846842546</v>
      </c>
      <c r="H145" s="12">
        <v>1.46602798300556</v>
      </c>
      <c r="I145" s="12">
        <v>240.052006437413</v>
      </c>
      <c r="J145" s="12">
        <v>6663.01403479744</v>
      </c>
      <c r="K145" s="12">
        <v>7614.09638652977</v>
      </c>
      <c r="L145" s="12">
        <v>1138.04540442102</v>
      </c>
      <c r="M145" s="12">
        <v>4884.09602975878</v>
      </c>
      <c r="N145" s="12">
        <v>9393.01439156843</v>
      </c>
    </row>
    <row r="146" spans="2:14">
      <c r="B146" s="11" t="s">
        <v>127</v>
      </c>
      <c r="C146" s="20">
        <v>1</v>
      </c>
      <c r="D146" s="12">
        <v>8810</v>
      </c>
      <c r="E146" s="12">
        <v>7318.48290497164</v>
      </c>
      <c r="F146" s="12">
        <v>1491.51709502836</v>
      </c>
      <c r="G146" s="12">
        <v>1.34076203852711</v>
      </c>
      <c r="H146" s="12">
        <v>1.37166654434923</v>
      </c>
      <c r="I146" s="12">
        <v>234.810785831394</v>
      </c>
      <c r="J146" s="12">
        <v>6853.32454675799</v>
      </c>
      <c r="K146" s="12">
        <v>7783.64126318528</v>
      </c>
      <c r="L146" s="12">
        <v>1136.95139820131</v>
      </c>
      <c r="M146" s="12">
        <v>5066.19094196198</v>
      </c>
      <c r="N146" s="12">
        <v>9570.7748679813</v>
      </c>
    </row>
    <row r="147" spans="2:14">
      <c r="B147" s="11" t="s">
        <v>128</v>
      </c>
      <c r="C147" s="20">
        <v>1</v>
      </c>
      <c r="D147" s="12">
        <v>8884</v>
      </c>
      <c r="E147" s="12">
        <v>7678.33829358771</v>
      </c>
      <c r="F147" s="12">
        <v>1205.66170641229</v>
      </c>
      <c r="G147" s="12">
        <v>1.08379947682241</v>
      </c>
      <c r="H147" s="12">
        <v>1.10716865138486</v>
      </c>
      <c r="I147" s="12">
        <v>227.353930139135</v>
      </c>
      <c r="J147" s="12">
        <v>7227.95190906754</v>
      </c>
      <c r="K147" s="12">
        <v>8128.72467810787</v>
      </c>
      <c r="L147" s="12">
        <v>1135.43480054069</v>
      </c>
      <c r="M147" s="12">
        <v>5429.05069886287</v>
      </c>
      <c r="N147" s="12">
        <v>9927.62588831254</v>
      </c>
    </row>
    <row r="148" spans="2:14">
      <c r="B148" s="11" t="s">
        <v>129</v>
      </c>
      <c r="C148" s="20">
        <v>1</v>
      </c>
      <c r="D148" s="12">
        <v>9510</v>
      </c>
      <c r="E148" s="12">
        <v>7858.26598789574</v>
      </c>
      <c r="F148" s="12">
        <v>1651.73401210426</v>
      </c>
      <c r="G148" s="12">
        <v>1.48478503434878</v>
      </c>
      <c r="H148" s="12">
        <v>1.51618840913499</v>
      </c>
      <c r="I148" s="12">
        <v>225.238483853306</v>
      </c>
      <c r="J148" s="12">
        <v>7412.07028617459</v>
      </c>
      <c r="K148" s="12">
        <v>8304.46168961689</v>
      </c>
      <c r="L148" s="12">
        <v>1135.0131062405</v>
      </c>
      <c r="M148" s="12">
        <v>5609.81376633169</v>
      </c>
      <c r="N148" s="12">
        <v>10106.7182094598</v>
      </c>
    </row>
    <row r="149" spans="2:14">
      <c r="B149" s="11" t="s">
        <v>130</v>
      </c>
      <c r="C149" s="20">
        <v>1</v>
      </c>
      <c r="D149" s="12">
        <v>9584</v>
      </c>
      <c r="E149" s="12">
        <v>8218.12137651181</v>
      </c>
      <c r="F149" s="12">
        <v>1365.87862348819</v>
      </c>
      <c r="G149" s="12">
        <v>1.22782247264408</v>
      </c>
      <c r="H149" s="12">
        <v>1.25358856278053</v>
      </c>
      <c r="I149" s="12">
        <v>224.385673421641</v>
      </c>
      <c r="J149" s="12">
        <v>7773.61508568742</v>
      </c>
      <c r="K149" s="12">
        <v>8662.6276673362</v>
      </c>
      <c r="L149" s="12">
        <v>1134.84417748255</v>
      </c>
      <c r="M149" s="12">
        <v>5970.00380151615</v>
      </c>
      <c r="N149" s="12">
        <v>10466.2389515075</v>
      </c>
    </row>
    <row r="150" spans="2:14">
      <c r="B150" s="11" t="s">
        <v>131</v>
      </c>
      <c r="C150" s="20">
        <v>1</v>
      </c>
      <c r="D150" s="12">
        <v>9675</v>
      </c>
      <c r="E150" s="12">
        <v>8577.97676512788</v>
      </c>
      <c r="F150" s="12">
        <v>1097.02323487212</v>
      </c>
      <c r="G150" s="12">
        <v>0.986141636325523</v>
      </c>
      <c r="H150" s="12">
        <v>1.00754000999079</v>
      </c>
      <c r="I150" s="12">
        <v>228.051281980229</v>
      </c>
      <c r="J150" s="12">
        <v>8126.20893198153</v>
      </c>
      <c r="K150" s="12">
        <v>9029.74459827422</v>
      </c>
      <c r="L150" s="12">
        <v>1135.57464040986</v>
      </c>
      <c r="M150" s="12">
        <v>6328.41214869926</v>
      </c>
      <c r="N150" s="12">
        <v>10827.5413815565</v>
      </c>
    </row>
    <row r="151" spans="2:14">
      <c r="B151" s="11" t="s">
        <v>132</v>
      </c>
      <c r="C151" s="20">
        <v>1</v>
      </c>
      <c r="D151" s="12">
        <v>9688</v>
      </c>
      <c r="E151" s="12">
        <v>8757.90445943591</v>
      </c>
      <c r="F151" s="12">
        <v>930.095540564091</v>
      </c>
      <c r="G151" s="12">
        <v>0.836086154928031</v>
      </c>
      <c r="H151" s="12">
        <v>0.854803663272427</v>
      </c>
      <c r="I151" s="12">
        <v>231.521766700554</v>
      </c>
      <c r="J151" s="12">
        <v>8299.26162278835</v>
      </c>
      <c r="K151" s="12">
        <v>9216.54729608346</v>
      </c>
      <c r="L151" s="12">
        <v>1136.27668513673</v>
      </c>
      <c r="M151" s="12">
        <v>6506.94909781054</v>
      </c>
      <c r="N151" s="12">
        <v>11008.8598210613</v>
      </c>
    </row>
    <row r="152" spans="2:14">
      <c r="B152" s="11" t="s">
        <v>133</v>
      </c>
      <c r="C152" s="20">
        <v>1</v>
      </c>
      <c r="D152" s="12">
        <v>9698</v>
      </c>
      <c r="E152" s="12">
        <v>8937.83215374394</v>
      </c>
      <c r="F152" s="12">
        <v>760.167846256056</v>
      </c>
      <c r="G152" s="12">
        <v>0.683333898462394</v>
      </c>
      <c r="H152" s="12">
        <v>0.699253766699184</v>
      </c>
      <c r="I152" s="12">
        <v>236.024882028069</v>
      </c>
      <c r="J152" s="12">
        <v>8470.26868031568</v>
      </c>
      <c r="K152" s="12">
        <v>9405.39562717221</v>
      </c>
      <c r="L152" s="12">
        <v>1137.20276189672</v>
      </c>
      <c r="M152" s="12">
        <v>6685.04224118969</v>
      </c>
      <c r="N152" s="12">
        <v>11190.6220662982</v>
      </c>
    </row>
    <row r="153" spans="2:14">
      <c r="B153" s="11" t="s">
        <v>134</v>
      </c>
      <c r="C153" s="20">
        <v>1</v>
      </c>
      <c r="D153" s="12">
        <v>9841</v>
      </c>
      <c r="E153" s="12">
        <v>9297.68754236001</v>
      </c>
      <c r="F153" s="12">
        <v>543.312457639988</v>
      </c>
      <c r="G153" s="12">
        <v>0.48839716332498</v>
      </c>
      <c r="H153" s="12">
        <v>0.500994131877349</v>
      </c>
      <c r="I153" s="12">
        <v>247.891112401187</v>
      </c>
      <c r="J153" s="12">
        <v>8806.6171579566</v>
      </c>
      <c r="K153" s="12">
        <v>9788.75792676342</v>
      </c>
      <c r="L153" s="12">
        <v>1139.72469497535</v>
      </c>
      <c r="M153" s="12">
        <v>7039.90169980098</v>
      </c>
      <c r="N153" s="12">
        <v>11555.473384919</v>
      </c>
    </row>
    <row r="154" spans="2:14">
      <c r="B154" s="11" t="s">
        <v>135</v>
      </c>
      <c r="C154" s="20">
        <v>1</v>
      </c>
      <c r="D154" s="12">
        <v>9846</v>
      </c>
      <c r="E154" s="12">
        <v>9477.61523666805</v>
      </c>
      <c r="F154" s="12">
        <v>368.384763331955</v>
      </c>
      <c r="G154" s="12">
        <v>0.331150281745774</v>
      </c>
      <c r="H154" s="12">
        <v>0.340217910898339</v>
      </c>
      <c r="I154" s="12">
        <v>255.121237450771</v>
      </c>
      <c r="J154" s="12">
        <v>8972.222030228</v>
      </c>
      <c r="K154" s="12">
        <v>9983.00844310809</v>
      </c>
      <c r="L154" s="12">
        <v>1141.31907130634</v>
      </c>
      <c r="M154" s="12">
        <v>7216.67094687724</v>
      </c>
      <c r="N154" s="12">
        <v>11738.5595264588</v>
      </c>
    </row>
    <row r="155" spans="2:14">
      <c r="B155" s="11" t="s">
        <v>136</v>
      </c>
      <c r="C155" s="20">
        <v>1</v>
      </c>
      <c r="D155" s="12">
        <v>9852</v>
      </c>
      <c r="E155" s="12">
        <v>9657.54293097608</v>
      </c>
      <c r="F155" s="12">
        <v>194.457069023922</v>
      </c>
      <c r="G155" s="12">
        <v>0.174802325189282</v>
      </c>
      <c r="H155" s="12">
        <v>0.179907280138078</v>
      </c>
      <c r="I155" s="12">
        <v>263.123855296753</v>
      </c>
      <c r="J155" s="12">
        <v>9136.2966002195</v>
      </c>
      <c r="K155" s="12">
        <v>10178.7892617327</v>
      </c>
      <c r="L155" s="12">
        <v>1143.13452399768</v>
      </c>
      <c r="M155" s="12">
        <v>7393.00224338641</v>
      </c>
      <c r="N155" s="12">
        <v>11922.0836185657</v>
      </c>
    </row>
    <row r="156" spans="2:14">
      <c r="B156" s="11" t="s">
        <v>137</v>
      </c>
      <c r="C156" s="20">
        <v>1</v>
      </c>
      <c r="D156" s="12">
        <v>9859</v>
      </c>
      <c r="E156" s="12">
        <v>9837.47062528411</v>
      </c>
      <c r="F156" s="12">
        <v>21.5293747158867</v>
      </c>
      <c r="G156" s="12">
        <v>0.0193532936555028</v>
      </c>
      <c r="H156" s="12">
        <v>0.0199583154890525</v>
      </c>
      <c r="I156" s="12">
        <v>271.830748611962</v>
      </c>
      <c r="J156" s="12">
        <v>9298.97600593081</v>
      </c>
      <c r="K156" s="12">
        <v>10375.9652446374</v>
      </c>
      <c r="L156" s="12">
        <v>1145.17000162426</v>
      </c>
      <c r="M156" s="12">
        <v>7568.89767219348</v>
      </c>
      <c r="N156" s="12">
        <v>12106.0435783747</v>
      </c>
    </row>
    <row r="157" spans="2:14">
      <c r="B157" s="11" t="s">
        <v>138</v>
      </c>
      <c r="C157" s="20">
        <v>1</v>
      </c>
      <c r="D157" s="12">
        <v>975</v>
      </c>
      <c r="E157" s="12">
        <v>3148.4302772582</v>
      </c>
      <c r="F157" s="12">
        <v>-2173.4302772582</v>
      </c>
      <c r="G157" s="12">
        <v>-1.95375086135225</v>
      </c>
      <c r="H157" s="12">
        <v>-2.01698970937782</v>
      </c>
      <c r="I157" s="12">
        <v>276.376160695835</v>
      </c>
      <c r="J157" s="12">
        <v>2600.93123157562</v>
      </c>
      <c r="K157" s="12">
        <v>3695.92932294078</v>
      </c>
      <c r="L157" s="12">
        <v>1146.25745752433</v>
      </c>
      <c r="M157" s="12">
        <v>877.703082405149</v>
      </c>
      <c r="N157" s="12">
        <v>5419.15747211126</v>
      </c>
    </row>
    <row r="158" spans="2:14">
      <c r="B158" s="11" t="s">
        <v>139</v>
      </c>
      <c r="C158" s="20">
        <v>1</v>
      </c>
      <c r="D158" s="12">
        <v>1040</v>
      </c>
      <c r="E158" s="12">
        <v>3328.35797156624</v>
      </c>
      <c r="F158" s="12">
        <v>-2288.35797156624</v>
      </c>
      <c r="G158" s="12">
        <v>-2.0570622415686</v>
      </c>
      <c r="H158" s="12">
        <v>-2.11942333641223</v>
      </c>
      <c r="I158" s="12">
        <v>267.868210890469</v>
      </c>
      <c r="J158" s="12">
        <v>2797.71310891965</v>
      </c>
      <c r="K158" s="12">
        <v>3859.00283421282</v>
      </c>
      <c r="L158" s="12">
        <v>1144.23588264607</v>
      </c>
      <c r="M158" s="12">
        <v>1061.6355009768</v>
      </c>
      <c r="N158" s="12">
        <v>5595.08044215568</v>
      </c>
    </row>
    <row r="159" spans="2:14">
      <c r="B159" s="11" t="s">
        <v>140</v>
      </c>
      <c r="C159" s="20">
        <v>1</v>
      </c>
      <c r="D159" s="12">
        <v>2220</v>
      </c>
      <c r="E159" s="12">
        <v>3868.14105449034</v>
      </c>
      <c r="F159" s="12">
        <v>-1648.14105449034</v>
      </c>
      <c r="G159" s="12">
        <v>-1.48155523484407</v>
      </c>
      <c r="H159" s="12">
        <v>-1.5194291118853</v>
      </c>
      <c r="I159" s="12">
        <v>246.829938299888</v>
      </c>
      <c r="J159" s="12">
        <v>3379.17284780841</v>
      </c>
      <c r="K159" s="12">
        <v>4357.10926117227</v>
      </c>
      <c r="L159" s="12">
        <v>1139.49435942891</v>
      </c>
      <c r="M159" s="12">
        <v>1610.81150487477</v>
      </c>
      <c r="N159" s="12">
        <v>6125.47060410591</v>
      </c>
    </row>
    <row r="160" spans="2:14">
      <c r="B160" s="11" t="s">
        <v>141</v>
      </c>
      <c r="C160" s="20">
        <v>1</v>
      </c>
      <c r="D160" s="12">
        <v>2678</v>
      </c>
      <c r="E160" s="12">
        <v>4048.06874879837</v>
      </c>
      <c r="F160" s="12">
        <v>-1370.06874879837</v>
      </c>
      <c r="G160" s="12">
        <v>-1.23158908113371</v>
      </c>
      <c r="H160" s="12">
        <v>-1.2616858389507</v>
      </c>
      <c r="I160" s="12">
        <v>241.529533584225</v>
      </c>
      <c r="J160" s="12">
        <v>3569.60060303433</v>
      </c>
      <c r="K160" s="12">
        <v>4526.53689456242</v>
      </c>
      <c r="L160" s="12">
        <v>1138.35798074357</v>
      </c>
      <c r="M160" s="12">
        <v>1792.99035660604</v>
      </c>
      <c r="N160" s="12">
        <v>6303.14714099071</v>
      </c>
    </row>
    <row r="161" spans="2:14">
      <c r="B161" s="11" t="s">
        <v>142</v>
      </c>
      <c r="C161" s="20">
        <v>1</v>
      </c>
      <c r="D161" s="12">
        <v>3145</v>
      </c>
      <c r="E161" s="12">
        <v>4227.99644310641</v>
      </c>
      <c r="F161" s="12">
        <v>-1082.99644310641</v>
      </c>
      <c r="G161" s="12">
        <v>-0.973532602218917</v>
      </c>
      <c r="H161" s="12">
        <v>-0.99644553711613</v>
      </c>
      <c r="I161" s="12">
        <v>237.188718076131</v>
      </c>
      <c r="J161" s="12">
        <v>3758.12741943083</v>
      </c>
      <c r="K161" s="12">
        <v>4697.86546678198</v>
      </c>
      <c r="L161" s="12">
        <v>1137.44488425232</v>
      </c>
      <c r="M161" s="12">
        <v>1974.72688803056</v>
      </c>
      <c r="N161" s="12">
        <v>6481.26599818226</v>
      </c>
    </row>
    <row r="162" spans="2:14">
      <c r="B162" s="11" t="s">
        <v>143</v>
      </c>
      <c r="C162" s="20">
        <v>1</v>
      </c>
      <c r="D162" s="12">
        <v>4340</v>
      </c>
      <c r="E162" s="12">
        <v>4407.92413741444</v>
      </c>
      <c r="F162" s="12">
        <v>-67.9241374144403</v>
      </c>
      <c r="G162" s="12">
        <v>-0.061058706768124</v>
      </c>
      <c r="H162" s="12">
        <v>-0.0624543513103624</v>
      </c>
      <c r="I162" s="12">
        <v>233.860932198352</v>
      </c>
      <c r="J162" s="12">
        <v>3944.64743193206</v>
      </c>
      <c r="K162" s="12">
        <v>4871.20084289683</v>
      </c>
      <c r="L162" s="12">
        <v>1136.75560800809</v>
      </c>
      <c r="M162" s="12">
        <v>2156.02003326957</v>
      </c>
      <c r="N162" s="12">
        <v>6659.82824155931</v>
      </c>
    </row>
    <row r="163" spans="2:14">
      <c r="B163" s="11" t="s">
        <v>144</v>
      </c>
      <c r="C163" s="20">
        <v>1</v>
      </c>
      <c r="D163" s="12">
        <v>4356</v>
      </c>
      <c r="E163" s="12">
        <v>4587.85183172247</v>
      </c>
      <c r="F163" s="12">
        <v>-231.851831722473</v>
      </c>
      <c r="G163" s="12">
        <v>-0.208417413097473</v>
      </c>
      <c r="H163" s="12">
        <v>-0.213086103049155</v>
      </c>
      <c r="I163" s="12">
        <v>231.589849673222</v>
      </c>
      <c r="J163" s="12">
        <v>4129.07412323044</v>
      </c>
      <c r="K163" s="12">
        <v>5046.62954021451</v>
      </c>
      <c r="L163" s="12">
        <v>1136.29055932047</v>
      </c>
      <c r="M163" s="12">
        <v>2336.86898544597</v>
      </c>
      <c r="N163" s="12">
        <v>6838.83467799898</v>
      </c>
    </row>
    <row r="164" spans="2:14">
      <c r="B164" s="11" t="s">
        <v>145</v>
      </c>
      <c r="C164" s="20">
        <v>1</v>
      </c>
      <c r="D164" s="12">
        <v>5310</v>
      </c>
      <c r="E164" s="12">
        <v>5127.63491464658</v>
      </c>
      <c r="F164" s="12">
        <v>182.365085353424</v>
      </c>
      <c r="G164" s="12">
        <v>0.163932538493619</v>
      </c>
      <c r="H164" s="12">
        <v>0.167597066168174</v>
      </c>
      <c r="I164" s="12">
        <v>231.355740110349</v>
      </c>
      <c r="J164" s="12">
        <v>4669.32097539548</v>
      </c>
      <c r="K164" s="12">
        <v>5585.94885389768</v>
      </c>
      <c r="L164" s="12">
        <v>1136.24286805734</v>
      </c>
      <c r="M164" s="12">
        <v>2876.74654439501</v>
      </c>
      <c r="N164" s="12">
        <v>7378.52328489814</v>
      </c>
    </row>
    <row r="165" spans="2:14">
      <c r="B165" s="11" t="s">
        <v>146</v>
      </c>
      <c r="C165" s="20">
        <v>1</v>
      </c>
      <c r="D165" s="12">
        <v>5321</v>
      </c>
      <c r="E165" s="12">
        <v>5307.56260895461</v>
      </c>
      <c r="F165" s="12">
        <v>13.4373910453905</v>
      </c>
      <c r="G165" s="12">
        <v>0.0120792070506984</v>
      </c>
      <c r="H165" s="12">
        <v>0.0123543632691151</v>
      </c>
      <c r="I165" s="12">
        <v>233.474414642346</v>
      </c>
      <c r="J165" s="12">
        <v>4845.05159177371</v>
      </c>
      <c r="K165" s="12">
        <v>5770.07362613551</v>
      </c>
      <c r="L165" s="12">
        <v>1136.67615397779</v>
      </c>
      <c r="M165" s="12">
        <v>3055.8159026318</v>
      </c>
      <c r="N165" s="12">
        <v>7559.30931527741</v>
      </c>
    </row>
    <row r="166" spans="2:14">
      <c r="B166" s="11" t="s">
        <v>147</v>
      </c>
      <c r="C166" s="20">
        <v>1</v>
      </c>
      <c r="D166" s="12">
        <v>6265</v>
      </c>
      <c r="E166" s="12">
        <v>5667.41799757068</v>
      </c>
      <c r="F166" s="12">
        <v>597.582002429323</v>
      </c>
      <c r="G166" s="12">
        <v>0.537181415107427</v>
      </c>
      <c r="H166" s="12">
        <v>0.550232845216483</v>
      </c>
      <c r="I166" s="12">
        <v>240.855507772688</v>
      </c>
      <c r="J166" s="12">
        <v>5190.28509174792</v>
      </c>
      <c r="K166" s="12">
        <v>6144.55090339343</v>
      </c>
      <c r="L166" s="12">
        <v>1138.21516083454</v>
      </c>
      <c r="M166" s="12">
        <v>3412.62253051812</v>
      </c>
      <c r="N166" s="12">
        <v>7922.21346462323</v>
      </c>
    </row>
    <row r="167" spans="2:14">
      <c r="B167" s="11" t="s">
        <v>148</v>
      </c>
      <c r="C167" s="20">
        <v>1</v>
      </c>
      <c r="D167" s="12">
        <v>6347</v>
      </c>
      <c r="E167" s="12">
        <v>6027.27338618675</v>
      </c>
      <c r="F167" s="12">
        <v>319.726613813255</v>
      </c>
      <c r="G167" s="12">
        <v>0.287410253584441</v>
      </c>
      <c r="H167" s="12">
        <v>0.295087391690927</v>
      </c>
      <c r="I167" s="12">
        <v>252.099880808953</v>
      </c>
      <c r="J167" s="12">
        <v>5527.86546398358</v>
      </c>
      <c r="K167" s="12">
        <v>6526.68130838991</v>
      </c>
      <c r="L167" s="12">
        <v>1140.6475032336</v>
      </c>
      <c r="M167" s="12">
        <v>3767.65946757561</v>
      </c>
      <c r="N167" s="12">
        <v>8286.88730479788</v>
      </c>
    </row>
    <row r="168" spans="2:14">
      <c r="B168" s="11" t="s">
        <v>149</v>
      </c>
      <c r="C168" s="20">
        <v>1</v>
      </c>
      <c r="D168" s="12">
        <v>6397</v>
      </c>
      <c r="E168" s="12">
        <v>6207.20108049478</v>
      </c>
      <c r="F168" s="12">
        <v>189.798919505221</v>
      </c>
      <c r="G168" s="12">
        <v>0.170614998027378</v>
      </c>
      <c r="H168" s="12">
        <v>0.175436865739373</v>
      </c>
      <c r="I168" s="12">
        <v>259.020365799605</v>
      </c>
      <c r="J168" s="12">
        <v>5694.08373082688</v>
      </c>
      <c r="K168" s="12">
        <v>6720.31843016268</v>
      </c>
      <c r="L168" s="12">
        <v>1142.19697365565</v>
      </c>
      <c r="M168" s="12">
        <v>3944.51767291163</v>
      </c>
      <c r="N168" s="12">
        <v>8469.88448807793</v>
      </c>
    </row>
    <row r="169" spans="2:14">
      <c r="B169" s="11" t="s">
        <v>150</v>
      </c>
      <c r="C169" s="20">
        <v>1</v>
      </c>
      <c r="D169" s="12">
        <v>6434</v>
      </c>
      <c r="E169" s="12">
        <v>6387.12877480281</v>
      </c>
      <c r="F169" s="12">
        <v>46.8712251971883</v>
      </c>
      <c r="G169" s="12">
        <v>0.0421337171750289</v>
      </c>
      <c r="H169" s="12">
        <v>0.0433995960401226</v>
      </c>
      <c r="I169" s="12">
        <v>266.719375244719</v>
      </c>
      <c r="J169" s="12">
        <v>5858.7597467221</v>
      </c>
      <c r="K169" s="12">
        <v>6915.49780288353</v>
      </c>
      <c r="L169" s="12">
        <v>1143.96748286833</v>
      </c>
      <c r="M169" s="12">
        <v>4120.93800210585</v>
      </c>
      <c r="N169" s="12">
        <v>8653.31954749977</v>
      </c>
    </row>
    <row r="170" spans="2:14">
      <c r="B170" s="11" t="s">
        <v>151</v>
      </c>
      <c r="C170" s="20">
        <v>1</v>
      </c>
      <c r="D170" s="12">
        <v>6456</v>
      </c>
      <c r="E170" s="12">
        <v>6567.05646911085</v>
      </c>
      <c r="F170" s="12">
        <v>-111.056469110847</v>
      </c>
      <c r="G170" s="12">
        <v>-0.0998314390180361</v>
      </c>
      <c r="H170" s="12">
        <v>-0.103032325608987</v>
      </c>
      <c r="I170" s="12">
        <v>275.131560530237</v>
      </c>
      <c r="J170" s="12">
        <v>6022.02296677038</v>
      </c>
      <c r="K170" s="12">
        <v>7112.08997145132</v>
      </c>
      <c r="L170" s="12">
        <v>1145.95800635493</v>
      </c>
      <c r="M170" s="12">
        <v>4296.92248471799</v>
      </c>
      <c r="N170" s="12">
        <v>8837.19045350371</v>
      </c>
    </row>
    <row r="171" spans="2:14">
      <c r="B171" s="11" t="s">
        <v>152</v>
      </c>
      <c r="C171" s="20">
        <v>1</v>
      </c>
      <c r="D171" s="12">
        <v>4505</v>
      </c>
      <c r="E171" s="12">
        <v>6376.95138855331</v>
      </c>
      <c r="F171" s="12">
        <v>-1871.95138855331</v>
      </c>
      <c r="G171" s="12">
        <v>-1.68274394447532</v>
      </c>
      <c r="H171" s="12">
        <v>-1.73621574647518</v>
      </c>
      <c r="I171" s="12">
        <v>273.956897878807</v>
      </c>
      <c r="J171" s="12">
        <v>5834.24488387804</v>
      </c>
      <c r="K171" s="12">
        <v>6919.65789322858</v>
      </c>
      <c r="L171" s="12">
        <v>1145.67655061302</v>
      </c>
      <c r="M171" s="12">
        <v>4107.3749658174</v>
      </c>
      <c r="N171" s="12">
        <v>8646.52781128922</v>
      </c>
    </row>
    <row r="172" spans="2:14">
      <c r="B172" s="11" t="s">
        <v>153</v>
      </c>
      <c r="C172" s="20">
        <v>1</v>
      </c>
      <c r="D172" s="12">
        <v>5501</v>
      </c>
      <c r="E172" s="12">
        <v>6556.87908286134</v>
      </c>
      <c r="F172" s="12">
        <v>-1055.87908286134</v>
      </c>
      <c r="G172" s="12">
        <v>-0.949156128544669</v>
      </c>
      <c r="H172" s="12">
        <v>-0.977464414909715</v>
      </c>
      <c r="I172" s="12">
        <v>265.784994474713</v>
      </c>
      <c r="J172" s="12">
        <v>6030.36105588938</v>
      </c>
      <c r="K172" s="12">
        <v>7083.3971098333</v>
      </c>
      <c r="L172" s="12">
        <v>1143.7499901714</v>
      </c>
      <c r="M172" s="12">
        <v>4291.11916152185</v>
      </c>
      <c r="N172" s="12">
        <v>8822.63900420083</v>
      </c>
    </row>
    <row r="173" spans="2:14">
      <c r="B173" s="11" t="s">
        <v>154</v>
      </c>
      <c r="C173" s="20">
        <v>1</v>
      </c>
      <c r="D173" s="12">
        <v>6602</v>
      </c>
      <c r="E173" s="12">
        <v>6916.73447147741</v>
      </c>
      <c r="F173" s="12">
        <v>-314.734471477408</v>
      </c>
      <c r="G173" s="12">
        <v>-0.282922691921798</v>
      </c>
      <c r="H173" s="12">
        <v>-0.290454886863826</v>
      </c>
      <c r="I173" s="12">
        <v>251.697540281401</v>
      </c>
      <c r="J173" s="12">
        <v>6418.12358276049</v>
      </c>
      <c r="K173" s="12">
        <v>7415.34536019433</v>
      </c>
      <c r="L173" s="12">
        <v>1140.55864755517</v>
      </c>
      <c r="M173" s="12">
        <v>4657.29657528089</v>
      </c>
      <c r="N173" s="12">
        <v>9176.17236767393</v>
      </c>
    </row>
    <row r="174" spans="2:14">
      <c r="B174" s="11" t="s">
        <v>155</v>
      </c>
      <c r="C174" s="20">
        <v>1</v>
      </c>
      <c r="D174" s="12">
        <v>7722</v>
      </c>
      <c r="E174" s="12">
        <v>7096.66216578544</v>
      </c>
      <c r="F174" s="12">
        <v>625.337834214559</v>
      </c>
      <c r="G174" s="12">
        <v>0.562131826825424</v>
      </c>
      <c r="H174" s="12">
        <v>0.576391073137018</v>
      </c>
      <c r="I174" s="12">
        <v>245.911282553176</v>
      </c>
      <c r="J174" s="12">
        <v>6609.51380906224</v>
      </c>
      <c r="K174" s="12">
        <v>7583.81052250864</v>
      </c>
      <c r="L174" s="12">
        <v>1139.29571912481</v>
      </c>
      <c r="M174" s="12">
        <v>4839.72612108236</v>
      </c>
      <c r="N174" s="12">
        <v>9353.59821048852</v>
      </c>
    </row>
    <row r="175" spans="2:14">
      <c r="B175" s="11" t="s">
        <v>156</v>
      </c>
      <c r="C175" s="20">
        <v>1</v>
      </c>
      <c r="D175" s="12">
        <v>9031</v>
      </c>
      <c r="E175" s="12">
        <v>7276.58986009348</v>
      </c>
      <c r="F175" s="12">
        <v>1754.41013990652</v>
      </c>
      <c r="G175" s="12">
        <v>1.57708317486564</v>
      </c>
      <c r="H175" s="12">
        <v>1.61546331094041</v>
      </c>
      <c r="I175" s="12">
        <v>241.046761494709</v>
      </c>
      <c r="J175" s="12">
        <v>6799.07808212044</v>
      </c>
      <c r="K175" s="12">
        <v>7754.10163806651</v>
      </c>
      <c r="L175" s="12">
        <v>1138.25564701268</v>
      </c>
      <c r="M175" s="12">
        <v>5021.71419023386</v>
      </c>
      <c r="N175" s="12">
        <v>9531.46552995309</v>
      </c>
    </row>
    <row r="176" spans="2:14">
      <c r="B176" s="11" t="s">
        <v>157</v>
      </c>
      <c r="C176" s="20">
        <v>1</v>
      </c>
      <c r="D176" s="12">
        <v>9117</v>
      </c>
      <c r="E176" s="12">
        <v>7456.51755440151</v>
      </c>
      <c r="F176" s="12">
        <v>1660.48244559849</v>
      </c>
      <c r="G176" s="12">
        <v>1.4926492201263</v>
      </c>
      <c r="H176" s="12">
        <v>1.52777142159658</v>
      </c>
      <c r="I176" s="12">
        <v>237.160702486996</v>
      </c>
      <c r="J176" s="12">
        <v>6986.70402939223</v>
      </c>
      <c r="K176" s="12">
        <v>7926.33107941079</v>
      </c>
      <c r="L176" s="12">
        <v>1137.43904255713</v>
      </c>
      <c r="M176" s="12">
        <v>5203.25957167882</v>
      </c>
      <c r="N176" s="12">
        <v>9709.7755371242</v>
      </c>
    </row>
    <row r="177" spans="2:14">
      <c r="B177" s="11" t="s">
        <v>158</v>
      </c>
      <c r="C177" s="20">
        <v>1</v>
      </c>
      <c r="D177" s="12">
        <v>9810</v>
      </c>
      <c r="E177" s="12">
        <v>7996.30063732561</v>
      </c>
      <c r="F177" s="12">
        <v>1813.69936267439</v>
      </c>
      <c r="G177" s="12">
        <v>1.63037974078896</v>
      </c>
      <c r="H177" s="12">
        <v>1.66697115697015</v>
      </c>
      <c r="I177" s="12">
        <v>231.803845862473</v>
      </c>
      <c r="J177" s="12">
        <v>7537.09900403087</v>
      </c>
      <c r="K177" s="12">
        <v>8455.50227062035</v>
      </c>
      <c r="L177" s="12">
        <v>1136.33419366215</v>
      </c>
      <c r="M177" s="12">
        <v>5745.23135175432</v>
      </c>
      <c r="N177" s="12">
        <v>10247.3699228969</v>
      </c>
    </row>
    <row r="178" spans="2:14">
      <c r="B178" s="11" t="s">
        <v>159</v>
      </c>
      <c r="C178" s="20">
        <v>1</v>
      </c>
      <c r="D178" s="12">
        <v>9876</v>
      </c>
      <c r="E178" s="12">
        <v>8176.22833163365</v>
      </c>
      <c r="F178" s="12">
        <v>1699.77166836635</v>
      </c>
      <c r="G178" s="12">
        <v>1.52796728559532</v>
      </c>
      <c r="H178" s="12">
        <v>1.5623813447817</v>
      </c>
      <c r="I178" s="12">
        <v>232.199443326781</v>
      </c>
      <c r="J178" s="12">
        <v>7716.24302280902</v>
      </c>
      <c r="K178" s="12">
        <v>8636.21364045827</v>
      </c>
      <c r="L178" s="12">
        <v>1136.41495863546</v>
      </c>
      <c r="M178" s="12">
        <v>5924.99905127227</v>
      </c>
      <c r="N178" s="12">
        <v>10427.457611995</v>
      </c>
    </row>
    <row r="179" spans="2:14">
      <c r="B179" s="11" t="s">
        <v>160</v>
      </c>
      <c r="C179" s="20">
        <v>1</v>
      </c>
      <c r="D179" s="12">
        <v>9884</v>
      </c>
      <c r="E179" s="12">
        <v>8356.15602594168</v>
      </c>
      <c r="F179" s="12">
        <v>1527.84397405832</v>
      </c>
      <c r="G179" s="12">
        <v>1.37341717908426</v>
      </c>
      <c r="H179" s="12">
        <v>1.40476225871583</v>
      </c>
      <c r="I179" s="12">
        <v>233.689142329718</v>
      </c>
      <c r="J179" s="12">
        <v>7893.21963486593</v>
      </c>
      <c r="K179" s="12">
        <v>8819.09241701743</v>
      </c>
      <c r="L179" s="12">
        <v>1136.72027868423</v>
      </c>
      <c r="M179" s="12">
        <v>6104.32190891527</v>
      </c>
      <c r="N179" s="12">
        <v>10607.9901429681</v>
      </c>
    </row>
    <row r="180" spans="2:14">
      <c r="B180" s="11" t="s">
        <v>161</v>
      </c>
      <c r="C180" s="20">
        <v>1</v>
      </c>
      <c r="D180" s="12">
        <v>9942</v>
      </c>
      <c r="E180" s="12">
        <v>8536.08372024971</v>
      </c>
      <c r="F180" s="12">
        <v>1405.91627975029</v>
      </c>
      <c r="G180" s="12">
        <v>1.26381332370891</v>
      </c>
      <c r="H180" s="12">
        <v>1.29331558009331</v>
      </c>
      <c r="I180" s="12">
        <v>236.252247060702</v>
      </c>
      <c r="J180" s="12">
        <v>8068.06983844298</v>
      </c>
      <c r="K180" s="12">
        <v>9004.09760205645</v>
      </c>
      <c r="L180" s="12">
        <v>1137.24997294807</v>
      </c>
      <c r="M180" s="12">
        <v>6283.20028296635</v>
      </c>
      <c r="N180" s="12">
        <v>10788.9671575331</v>
      </c>
    </row>
    <row r="181" spans="2:14">
      <c r="B181" s="11" t="s">
        <v>162</v>
      </c>
      <c r="C181" s="20">
        <v>1</v>
      </c>
      <c r="D181" s="12">
        <v>9998</v>
      </c>
      <c r="E181" s="12">
        <v>9075.86680317381</v>
      </c>
      <c r="F181" s="12">
        <v>922.133196826186</v>
      </c>
      <c r="G181" s="12">
        <v>0.828928604902575</v>
      </c>
      <c r="H181" s="12">
        <v>0.850685475882039</v>
      </c>
      <c r="I181" s="12">
        <v>249.983004738159</v>
      </c>
      <c r="J181" s="12">
        <v>8580.65239616267</v>
      </c>
      <c r="K181" s="12">
        <v>9571.08121018496</v>
      </c>
      <c r="L181" s="12">
        <v>1140.18151159676</v>
      </c>
      <c r="M181" s="12">
        <v>6817.17601040618</v>
      </c>
      <c r="N181" s="12">
        <v>11334.5575959414</v>
      </c>
    </row>
    <row r="182" spans="2:14">
      <c r="B182" s="11" t="s">
        <v>163</v>
      </c>
      <c r="C182" s="20">
        <v>1</v>
      </c>
      <c r="D182" s="12">
        <v>10141</v>
      </c>
      <c r="E182" s="12">
        <v>9435.72219178988</v>
      </c>
      <c r="F182" s="12">
        <v>705.277808210118</v>
      </c>
      <c r="G182" s="12">
        <v>0.633991869765161</v>
      </c>
      <c r="H182" s="12">
        <v>0.652579865717936</v>
      </c>
      <c r="I182" s="12">
        <v>263.618659785059</v>
      </c>
      <c r="J182" s="12">
        <v>8913.49565715297</v>
      </c>
      <c r="K182" s="12">
        <v>9957.9487264268</v>
      </c>
      <c r="L182" s="12">
        <v>1143.2485182654</v>
      </c>
      <c r="M182" s="12">
        <v>7170.95568243384</v>
      </c>
      <c r="N182" s="12">
        <v>11700.4887011459</v>
      </c>
    </row>
    <row r="183" spans="2:14">
      <c r="B183" s="11" t="s">
        <v>164</v>
      </c>
      <c r="C183" s="20">
        <v>1</v>
      </c>
      <c r="D183" s="12">
        <v>10152</v>
      </c>
      <c r="E183" s="12">
        <v>9795.57758040595</v>
      </c>
      <c r="F183" s="12">
        <v>356.422419594051</v>
      </c>
      <c r="G183" s="12">
        <v>0.320397031629463</v>
      </c>
      <c r="H183" s="12">
        <v>0.331075159424409</v>
      </c>
      <c r="I183" s="12">
        <v>280.249877543986</v>
      </c>
      <c r="J183" s="12">
        <v>9240.40473148264</v>
      </c>
      <c r="K183" s="12">
        <v>10350.7504293293</v>
      </c>
      <c r="L183" s="12">
        <v>1147.19761619025</v>
      </c>
      <c r="M183" s="12">
        <v>7522.98793847683</v>
      </c>
      <c r="N183" s="12">
        <v>12068.1672223351</v>
      </c>
    </row>
    <row r="184" spans="2:14">
      <c r="B184" s="11" t="s">
        <v>165</v>
      </c>
      <c r="C184" s="20">
        <v>1</v>
      </c>
      <c r="D184" s="12">
        <v>10159</v>
      </c>
      <c r="E184" s="12">
        <v>9975.50527471398</v>
      </c>
      <c r="F184" s="12">
        <v>183.494725286017</v>
      </c>
      <c r="G184" s="12">
        <v>0.164948000095684</v>
      </c>
      <c r="H184" s="12">
        <v>0.170835551510984</v>
      </c>
      <c r="I184" s="12">
        <v>289.531180975454</v>
      </c>
      <c r="J184" s="12">
        <v>9401.94623517776</v>
      </c>
      <c r="K184" s="12">
        <v>10549.0643142502</v>
      </c>
      <c r="L184" s="12">
        <v>1149.50018768429</v>
      </c>
      <c r="M184" s="12">
        <v>7698.35425638964</v>
      </c>
      <c r="N184" s="12">
        <v>12252.6562930383</v>
      </c>
    </row>
    <row r="185" spans="2:14">
      <c r="B185" s="11" t="s">
        <v>166</v>
      </c>
      <c r="C185" s="20">
        <v>1</v>
      </c>
      <c r="D185" s="12">
        <v>1232</v>
      </c>
      <c r="E185" s="12">
        <v>2926.60953807201</v>
      </c>
      <c r="F185" s="12">
        <v>-1694.60953807201</v>
      </c>
      <c r="G185" s="12">
        <v>-1.52332691750322</v>
      </c>
      <c r="H185" s="12">
        <v>-1.57479521239118</v>
      </c>
      <c r="I185" s="12">
        <v>282.079549734801</v>
      </c>
      <c r="J185" s="12">
        <v>2367.81212263087</v>
      </c>
      <c r="K185" s="12">
        <v>3485.40695351314</v>
      </c>
      <c r="L185" s="12">
        <v>1147.64595982723</v>
      </c>
      <c r="M185" s="12">
        <v>653.13173085119</v>
      </c>
      <c r="N185" s="12">
        <v>5200.08734529282</v>
      </c>
    </row>
    <row r="186" spans="2:14">
      <c r="B186" s="11" t="s">
        <v>167</v>
      </c>
      <c r="C186" s="20">
        <v>1</v>
      </c>
      <c r="D186" s="12">
        <v>1244</v>
      </c>
      <c r="E186" s="12">
        <v>3106.53723238004</v>
      </c>
      <c r="F186" s="12">
        <v>-1862.53723238004</v>
      </c>
      <c r="G186" s="12">
        <v>-1.67428132392343</v>
      </c>
      <c r="H186" s="12">
        <v>-1.72710959448745</v>
      </c>
      <c r="I186" s="12">
        <v>273.034862862585</v>
      </c>
      <c r="J186" s="12">
        <v>2565.65727197037</v>
      </c>
      <c r="K186" s="12">
        <v>3647.41719278971</v>
      </c>
      <c r="L186" s="12">
        <v>1145.45642128697</v>
      </c>
      <c r="M186" s="12">
        <v>837.396884143587</v>
      </c>
      <c r="N186" s="12">
        <v>5375.67758061649</v>
      </c>
    </row>
    <row r="187" spans="2:14">
      <c r="B187" s="11" t="s">
        <v>168</v>
      </c>
      <c r="C187" s="20">
        <v>1</v>
      </c>
      <c r="D187" s="12">
        <v>1275</v>
      </c>
      <c r="E187" s="12">
        <v>3286.46492668807</v>
      </c>
      <c r="F187" s="12">
        <v>-2011.46492668807</v>
      </c>
      <c r="G187" s="12">
        <v>-1.80815615491206</v>
      </c>
      <c r="H187" s="12">
        <v>-1.86160212141854</v>
      </c>
      <c r="I187" s="12">
        <v>264.646321597509</v>
      </c>
      <c r="J187" s="12">
        <v>2762.20260191577</v>
      </c>
      <c r="K187" s="12">
        <v>3810.72725146037</v>
      </c>
      <c r="L187" s="12">
        <v>1143.48592132315</v>
      </c>
      <c r="M187" s="12">
        <v>1021.22812370311</v>
      </c>
      <c r="N187" s="12">
        <v>5551.70172967304</v>
      </c>
    </row>
    <row r="188" spans="2:14">
      <c r="B188" s="11" t="s">
        <v>169</v>
      </c>
      <c r="C188" s="20">
        <v>1</v>
      </c>
      <c r="D188" s="12">
        <v>1475</v>
      </c>
      <c r="E188" s="12">
        <v>3646.32031530414</v>
      </c>
      <c r="F188" s="12">
        <v>-2171.32031530414</v>
      </c>
      <c r="G188" s="12">
        <v>-1.95185416375476</v>
      </c>
      <c r="H188" s="12">
        <v>-2.00313291841997</v>
      </c>
      <c r="I188" s="12">
        <v>250.096740560912</v>
      </c>
      <c r="J188" s="12">
        <v>3150.88059850411</v>
      </c>
      <c r="K188" s="12">
        <v>4141.76003210417</v>
      </c>
      <c r="L188" s="12">
        <v>1140.20645339708</v>
      </c>
      <c r="M188" s="12">
        <v>1387.58011302218</v>
      </c>
      <c r="N188" s="12">
        <v>5905.06051758611</v>
      </c>
    </row>
    <row r="189" spans="2:14">
      <c r="B189" s="11" t="s">
        <v>170</v>
      </c>
      <c r="C189" s="20">
        <v>1</v>
      </c>
      <c r="D189" s="12">
        <v>2520</v>
      </c>
      <c r="E189" s="12">
        <v>4006.17570392021</v>
      </c>
      <c r="F189" s="12">
        <v>-1486.17570392021</v>
      </c>
      <c r="G189" s="12">
        <v>-1.33596052840389</v>
      </c>
      <c r="H189" s="12">
        <v>-1.36789140742035</v>
      </c>
      <c r="I189" s="12">
        <v>238.958123299642</v>
      </c>
      <c r="J189" s="12">
        <v>3532.80150212486</v>
      </c>
      <c r="K189" s="12">
        <v>4479.54990571556</v>
      </c>
      <c r="L189" s="12">
        <v>1137.8151701485</v>
      </c>
      <c r="M189" s="12">
        <v>1752.17261533597</v>
      </c>
      <c r="N189" s="12">
        <v>6260.17879250444</v>
      </c>
    </row>
    <row r="190" spans="2:14">
      <c r="B190" s="11" t="s">
        <v>171</v>
      </c>
      <c r="C190" s="20">
        <v>1</v>
      </c>
      <c r="D190" s="12">
        <v>2879</v>
      </c>
      <c r="E190" s="12">
        <v>4186.10339822824</v>
      </c>
      <c r="F190" s="12">
        <v>-1307.10339822824</v>
      </c>
      <c r="G190" s="12">
        <v>-1.17498795194224</v>
      </c>
      <c r="H190" s="12">
        <v>-1.20207487725947</v>
      </c>
      <c r="I190" s="12">
        <v>234.825467256179</v>
      </c>
      <c r="J190" s="12">
        <v>3720.91595622517</v>
      </c>
      <c r="K190" s="12">
        <v>4651.29084023131</v>
      </c>
      <c r="L190" s="12">
        <v>1136.95443039783</v>
      </c>
      <c r="M190" s="12">
        <v>1933.80542846065</v>
      </c>
      <c r="N190" s="12">
        <v>6438.40136799584</v>
      </c>
    </row>
    <row r="191" spans="2:14">
      <c r="B191" s="11" t="s">
        <v>172</v>
      </c>
      <c r="C191" s="20">
        <v>1</v>
      </c>
      <c r="D191" s="12">
        <v>3445</v>
      </c>
      <c r="E191" s="12">
        <v>4366.03109253628</v>
      </c>
      <c r="F191" s="12">
        <v>-921.031092536277</v>
      </c>
      <c r="G191" s="12">
        <v>-0.827937895778736</v>
      </c>
      <c r="H191" s="12">
        <v>-0.84650629487176</v>
      </c>
      <c r="I191" s="12">
        <v>231.722874766773</v>
      </c>
      <c r="J191" s="12">
        <v>3906.98986235848</v>
      </c>
      <c r="K191" s="12">
        <v>4825.07232271407</v>
      </c>
      <c r="L191" s="12">
        <v>1136.31767891701</v>
      </c>
      <c r="M191" s="12">
        <v>2114.9945225479</v>
      </c>
      <c r="N191" s="12">
        <v>6617.06766252465</v>
      </c>
    </row>
    <row r="192" spans="2:14">
      <c r="B192" s="11" t="s">
        <v>173</v>
      </c>
      <c r="C192" s="20">
        <v>1</v>
      </c>
      <c r="D192" s="12">
        <v>4640</v>
      </c>
      <c r="E192" s="12">
        <v>4545.95878684431</v>
      </c>
      <c r="F192" s="12">
        <v>94.0412131556895</v>
      </c>
      <c r="G192" s="12">
        <v>0.0845359996720572</v>
      </c>
      <c r="H192" s="12">
        <v>0.0863977262037678</v>
      </c>
      <c r="I192" s="12">
        <v>229.692090732727</v>
      </c>
      <c r="J192" s="12">
        <v>4090.94052419681</v>
      </c>
      <c r="K192" s="12">
        <v>5000.97704949181</v>
      </c>
      <c r="L192" s="12">
        <v>1135.90529238768</v>
      </c>
      <c r="M192" s="12">
        <v>2295.73915139433</v>
      </c>
      <c r="N192" s="12">
        <v>6796.17842229429</v>
      </c>
    </row>
    <row r="193" spans="2:14">
      <c r="B193" s="11" t="s">
        <v>174</v>
      </c>
      <c r="C193" s="20">
        <v>1</v>
      </c>
      <c r="D193" s="12">
        <v>4656</v>
      </c>
      <c r="E193" s="12">
        <v>4725.88648115234</v>
      </c>
      <c r="F193" s="12">
        <v>-69.8864811523435</v>
      </c>
      <c r="G193" s="12">
        <v>-0.0628227066572919</v>
      </c>
      <c r="H193" s="12">
        <v>-0.0641946886580654</v>
      </c>
      <c r="I193" s="12">
        <v>228.761661204547</v>
      </c>
      <c r="J193" s="12">
        <v>4272.71139223398</v>
      </c>
      <c r="K193" s="12">
        <v>5179.06157007071</v>
      </c>
      <c r="L193" s="12">
        <v>1135.71751521504</v>
      </c>
      <c r="M193" s="12">
        <v>2476.03883083509</v>
      </c>
      <c r="N193" s="12">
        <v>6975.73413146959</v>
      </c>
    </row>
    <row r="194" spans="2:14">
      <c r="B194" s="11" t="s">
        <v>175</v>
      </c>
      <c r="C194" s="20">
        <v>1</v>
      </c>
      <c r="D194" s="12">
        <v>5621</v>
      </c>
      <c r="E194" s="12">
        <v>5445.59725838448</v>
      </c>
      <c r="F194" s="12">
        <v>175.40274161552</v>
      </c>
      <c r="G194" s="12">
        <v>0.15767391349088</v>
      </c>
      <c r="H194" s="12">
        <v>0.161348845158645</v>
      </c>
      <c r="I194" s="12">
        <v>236.072900549009</v>
      </c>
      <c r="J194" s="12">
        <v>4977.93866063608</v>
      </c>
      <c r="K194" s="12">
        <v>5913.25585613288</v>
      </c>
      <c r="L194" s="12">
        <v>1137.21272904536</v>
      </c>
      <c r="M194" s="12">
        <v>3192.78760098555</v>
      </c>
      <c r="N194" s="12">
        <v>7698.40691578341</v>
      </c>
    </row>
    <row r="195" spans="2:14">
      <c r="B195" s="11" t="s">
        <v>176</v>
      </c>
      <c r="C195" s="20">
        <v>1</v>
      </c>
      <c r="D195" s="12">
        <v>5967</v>
      </c>
      <c r="E195" s="12">
        <v>5625.52495269251</v>
      </c>
      <c r="F195" s="12">
        <v>341.475047307487</v>
      </c>
      <c r="G195" s="12">
        <v>0.306960464657245</v>
      </c>
      <c r="H195" s="12">
        <v>0.314397740289277</v>
      </c>
      <c r="I195" s="12">
        <v>240.533223588778</v>
      </c>
      <c r="J195" s="12">
        <v>5149.03048935584</v>
      </c>
      <c r="K195" s="12">
        <v>6102.01941602918</v>
      </c>
      <c r="L195" s="12">
        <v>1138.14700648869</v>
      </c>
      <c r="M195" s="12">
        <v>3370.86449887416</v>
      </c>
      <c r="N195" s="12">
        <v>7880.18540651087</v>
      </c>
    </row>
    <row r="196" spans="2:14">
      <c r="B196" s="11" t="s">
        <v>177</v>
      </c>
      <c r="C196" s="20">
        <v>1</v>
      </c>
      <c r="D196" s="12">
        <v>6611</v>
      </c>
      <c r="E196" s="12">
        <v>5985.38034130858</v>
      </c>
      <c r="F196" s="12">
        <v>625.619658691419</v>
      </c>
      <c r="G196" s="12">
        <v>0.562385165899687</v>
      </c>
      <c r="H196" s="12">
        <v>0.577428166573301</v>
      </c>
      <c r="I196" s="12">
        <v>252.268293516009</v>
      </c>
      <c r="J196" s="12">
        <v>5485.63879482986</v>
      </c>
      <c r="K196" s="12">
        <v>6485.1218877873</v>
      </c>
      <c r="L196" s="12">
        <v>1140.68473674484</v>
      </c>
      <c r="M196" s="12">
        <v>3725.69266339846</v>
      </c>
      <c r="N196" s="12">
        <v>8245.0680192187</v>
      </c>
    </row>
    <row r="197" spans="2:14">
      <c r="B197" s="11" t="s">
        <v>178</v>
      </c>
      <c r="C197" s="20">
        <v>1</v>
      </c>
      <c r="D197" s="12">
        <v>6647</v>
      </c>
      <c r="E197" s="12">
        <v>6165.30803561662</v>
      </c>
      <c r="F197" s="12">
        <v>481.691964383384</v>
      </c>
      <c r="G197" s="12">
        <v>0.433004960024623</v>
      </c>
      <c r="H197" s="12">
        <v>0.445281404967354</v>
      </c>
      <c r="I197" s="12">
        <v>259.415756847118</v>
      </c>
      <c r="J197" s="12">
        <v>5651.4074193289</v>
      </c>
      <c r="K197" s="12">
        <v>6679.20865190433</v>
      </c>
      <c r="L197" s="12">
        <v>1142.28670290332</v>
      </c>
      <c r="M197" s="12">
        <v>3902.44687508494</v>
      </c>
      <c r="N197" s="12">
        <v>8428.16919614829</v>
      </c>
    </row>
    <row r="198" spans="2:14">
      <c r="B198" s="11" t="s">
        <v>179</v>
      </c>
      <c r="C198" s="20">
        <v>1</v>
      </c>
      <c r="D198" s="12">
        <v>6688</v>
      </c>
      <c r="E198" s="12">
        <v>6345.23572992465</v>
      </c>
      <c r="F198" s="12">
        <v>342.764270075351</v>
      </c>
      <c r="G198" s="12">
        <v>0.308119379263131</v>
      </c>
      <c r="H198" s="12">
        <v>0.317420846197897</v>
      </c>
      <c r="I198" s="12">
        <v>267.327987918484</v>
      </c>
      <c r="J198" s="12">
        <v>5815.66104482476</v>
      </c>
      <c r="K198" s="12">
        <v>6874.81041502454</v>
      </c>
      <c r="L198" s="12">
        <v>1144.10953577606</v>
      </c>
      <c r="M198" s="12">
        <v>4078.76355151157</v>
      </c>
      <c r="N198" s="12">
        <v>8611.70790833773</v>
      </c>
    </row>
    <row r="199" spans="2:14">
      <c r="B199" s="11" t="s">
        <v>180</v>
      </c>
      <c r="C199" s="20">
        <v>1</v>
      </c>
      <c r="D199" s="12">
        <v>6756</v>
      </c>
      <c r="E199" s="12">
        <v>6705.09111854072</v>
      </c>
      <c r="F199" s="12">
        <v>50.9088814592833</v>
      </c>
      <c r="G199" s="12">
        <v>0.0457632674221451</v>
      </c>
      <c r="H199" s="12">
        <v>0.047345500698417</v>
      </c>
      <c r="I199" s="12">
        <v>285.186106399323</v>
      </c>
      <c r="J199" s="12">
        <v>6140.13963827394</v>
      </c>
      <c r="K199" s="12">
        <v>7270.04259880749</v>
      </c>
      <c r="L199" s="12">
        <v>1148.41346735937</v>
      </c>
      <c r="M199" s="12">
        <v>4430.09288481008</v>
      </c>
      <c r="N199" s="12">
        <v>8980.08935227135</v>
      </c>
    </row>
    <row r="200" spans="2:14">
      <c r="B200" s="11" t="s">
        <v>181</v>
      </c>
      <c r="C200" s="20">
        <v>1</v>
      </c>
      <c r="D200" s="12">
        <v>2097</v>
      </c>
      <c r="E200" s="12">
        <v>1251.40575300331</v>
      </c>
      <c r="F200" s="12">
        <v>845.594246996693</v>
      </c>
      <c r="G200" s="12">
        <v>0.760125827688571</v>
      </c>
      <c r="H200" s="12">
        <v>0.785055593229517</v>
      </c>
      <c r="I200" s="12">
        <v>278.115346455938</v>
      </c>
      <c r="J200" s="12">
        <v>700.461393725213</v>
      </c>
      <c r="K200" s="12">
        <v>1802.3501122814</v>
      </c>
      <c r="L200" s="12">
        <v>1146.67803792672</v>
      </c>
      <c r="M200" s="12">
        <v>-1020.15460838757</v>
      </c>
      <c r="N200" s="12">
        <v>3522.96611439418</v>
      </c>
    </row>
    <row r="201" spans="2:14">
      <c r="B201" s="11" t="s">
        <v>182</v>
      </c>
      <c r="C201" s="20">
        <v>1</v>
      </c>
      <c r="D201" s="12">
        <v>2112</v>
      </c>
      <c r="E201" s="12">
        <v>1611.26114161937</v>
      </c>
      <c r="F201" s="12">
        <v>500.738858380626</v>
      </c>
      <c r="G201" s="12">
        <v>0.450126689643729</v>
      </c>
      <c r="H201" s="12">
        <v>0.463078402762504</v>
      </c>
      <c r="I201" s="12">
        <v>261.25810595689</v>
      </c>
      <c r="J201" s="12">
        <v>1093.71084593502</v>
      </c>
      <c r="K201" s="12">
        <v>2128.81143730373</v>
      </c>
      <c r="L201" s="12">
        <v>1142.70651291456</v>
      </c>
      <c r="M201" s="12">
        <v>-652.431659311186</v>
      </c>
      <c r="N201" s="12">
        <v>3874.95394254993</v>
      </c>
    </row>
    <row r="202" spans="2:14">
      <c r="B202" s="11" t="s">
        <v>183</v>
      </c>
      <c r="C202" s="20">
        <v>1</v>
      </c>
      <c r="D202" s="12">
        <v>2113</v>
      </c>
      <c r="E202" s="12">
        <v>1791.18883592741</v>
      </c>
      <c r="F202" s="12">
        <v>321.811164072592</v>
      </c>
      <c r="G202" s="12">
        <v>0.289284107973665</v>
      </c>
      <c r="H202" s="12">
        <v>0.297127871814528</v>
      </c>
      <c r="I202" s="12">
        <v>253.919941675456</v>
      </c>
      <c r="J202" s="12">
        <v>1288.17538716586</v>
      </c>
      <c r="K202" s="12">
        <v>2294.20228468896</v>
      </c>
      <c r="L202" s="12">
        <v>1141.05114412529</v>
      </c>
      <c r="M202" s="12">
        <v>-469.224692181303</v>
      </c>
      <c r="N202" s="12">
        <v>4051.60236403612</v>
      </c>
    </row>
    <row r="203" spans="2:14">
      <c r="B203" s="11" t="s">
        <v>184</v>
      </c>
      <c r="C203" s="20">
        <v>1</v>
      </c>
      <c r="D203" s="12">
        <v>2142</v>
      </c>
      <c r="E203" s="12">
        <v>2151.04422454348</v>
      </c>
      <c r="F203" s="12">
        <v>-9.04422454347605</v>
      </c>
      <c r="G203" s="12">
        <v>-0.0081300797531773</v>
      </c>
      <c r="H203" s="12">
        <v>-0.00832914336900221</v>
      </c>
      <c r="I203" s="12">
        <v>241.755744907407</v>
      </c>
      <c r="J203" s="12">
        <v>1672.12795589049</v>
      </c>
      <c r="K203" s="12">
        <v>2629.96049319646</v>
      </c>
      <c r="L203" s="12">
        <v>1138.4059982822</v>
      </c>
      <c r="M203" s="12">
        <v>-104.12929002306</v>
      </c>
      <c r="N203" s="12">
        <v>4406.21773911001</v>
      </c>
    </row>
    <row r="204" spans="2:14">
      <c r="B204" s="11" t="s">
        <v>185</v>
      </c>
      <c r="C204" s="20">
        <v>1</v>
      </c>
      <c r="D204" s="12">
        <v>2149</v>
      </c>
      <c r="E204" s="12">
        <v>2330.97191885151</v>
      </c>
      <c r="F204" s="12">
        <v>-181.97191885151</v>
      </c>
      <c r="G204" s="12">
        <v>-0.163579111286955</v>
      </c>
      <c r="H204" s="12">
        <v>-0.167424716436941</v>
      </c>
      <c r="I204" s="12">
        <v>237.058652570873</v>
      </c>
      <c r="J204" s="12">
        <v>1861.36055394008</v>
      </c>
      <c r="K204" s="12">
        <v>2800.58328376294</v>
      </c>
      <c r="L204" s="12">
        <v>1137.41776911031</v>
      </c>
      <c r="M204" s="12">
        <v>77.7560786631225</v>
      </c>
      <c r="N204" s="12">
        <v>4584.1877590399</v>
      </c>
    </row>
    <row r="205" spans="2:14">
      <c r="B205" s="11" t="s">
        <v>186</v>
      </c>
      <c r="C205" s="20">
        <v>1</v>
      </c>
      <c r="D205" s="12">
        <v>2159</v>
      </c>
      <c r="E205" s="12">
        <v>2510.89961315954</v>
      </c>
      <c r="F205" s="12">
        <v>-351.899613159544</v>
      </c>
      <c r="G205" s="12">
        <v>-0.316331367752591</v>
      </c>
      <c r="H205" s="12">
        <v>-0.323530065415336</v>
      </c>
      <c r="I205" s="12">
        <v>233.362903132865</v>
      </c>
      <c r="J205" s="12">
        <v>2048.60949942006</v>
      </c>
      <c r="K205" s="12">
        <v>2973.18972689903</v>
      </c>
      <c r="L205" s="12">
        <v>1136.65325464179</v>
      </c>
      <c r="M205" s="12">
        <v>259.198270245002</v>
      </c>
      <c r="N205" s="12">
        <v>4762.60095607409</v>
      </c>
    </row>
    <row r="206" spans="2:14">
      <c r="B206" s="11" t="s">
        <v>187</v>
      </c>
      <c r="C206" s="20">
        <v>1</v>
      </c>
      <c r="D206" s="12">
        <v>2178</v>
      </c>
      <c r="E206" s="12">
        <v>2690.82730746758</v>
      </c>
      <c r="F206" s="12">
        <v>-512.827307467578</v>
      </c>
      <c r="G206" s="12">
        <v>-0.460993299013798</v>
      </c>
      <c r="H206" s="12">
        <v>-0.471239520273923</v>
      </c>
      <c r="I206" s="12">
        <v>230.716621844589</v>
      </c>
      <c r="J206" s="12">
        <v>2233.77945657844</v>
      </c>
      <c r="K206" s="12">
        <v>3147.87515835671</v>
      </c>
      <c r="L206" s="12">
        <v>1136.11290650381</v>
      </c>
      <c r="M206" s="12">
        <v>440.196390052583</v>
      </c>
      <c r="N206" s="12">
        <v>4941.45822488257</v>
      </c>
    </row>
    <row r="207" spans="2:14">
      <c r="B207" s="11" t="s">
        <v>188</v>
      </c>
      <c r="C207" s="20">
        <v>1</v>
      </c>
      <c r="D207" s="12">
        <v>2182</v>
      </c>
      <c r="E207" s="12">
        <v>2870.75500177561</v>
      </c>
      <c r="F207" s="12">
        <v>-688.755001775612</v>
      </c>
      <c r="G207" s="12">
        <v>-0.619139105615719</v>
      </c>
      <c r="H207" s="12">
        <v>-0.632708676124787</v>
      </c>
      <c r="I207" s="12">
        <v>229.156169170848</v>
      </c>
      <c r="J207" s="12">
        <v>2416.79839561451</v>
      </c>
      <c r="K207" s="12">
        <v>3324.71160793671</v>
      </c>
      <c r="L207" s="12">
        <v>1135.79704463351</v>
      </c>
      <c r="M207" s="12">
        <v>620.749804292906</v>
      </c>
      <c r="N207" s="12">
        <v>5120.76019925832</v>
      </c>
    </row>
    <row r="208" spans="2:14">
      <c r="B208" s="11" t="s">
        <v>189</v>
      </c>
      <c r="C208" s="20">
        <v>1</v>
      </c>
      <c r="D208" s="12">
        <v>2223</v>
      </c>
      <c r="E208" s="12">
        <v>3230.61039039168</v>
      </c>
      <c r="F208" s="12">
        <v>-1007.61039039168</v>
      </c>
      <c r="G208" s="12">
        <v>-0.905766193069991</v>
      </c>
      <c r="H208" s="12">
        <v>-0.925655298480826</v>
      </c>
      <c r="I208" s="12">
        <v>229.36598729348</v>
      </c>
      <c r="J208" s="12">
        <v>2776.23813614567</v>
      </c>
      <c r="K208" s="12">
        <v>3684.98264463769</v>
      </c>
      <c r="L208" s="12">
        <v>1135.83939571415</v>
      </c>
      <c r="M208" s="12">
        <v>980.521295744429</v>
      </c>
      <c r="N208" s="12">
        <v>5480.69948503893</v>
      </c>
    </row>
    <row r="209" spans="2:14">
      <c r="B209" s="11" t="s">
        <v>190</v>
      </c>
      <c r="C209" s="20">
        <v>1</v>
      </c>
      <c r="D209" s="12">
        <v>2298</v>
      </c>
      <c r="E209" s="12">
        <v>3770.39347331578</v>
      </c>
      <c r="F209" s="12">
        <v>-1472.39347331578</v>
      </c>
      <c r="G209" s="12">
        <v>-1.32357133644475</v>
      </c>
      <c r="H209" s="12">
        <v>-1.35490807109618</v>
      </c>
      <c r="I209" s="12">
        <v>237.868934060201</v>
      </c>
      <c r="J209" s="12">
        <v>3299.1769470148</v>
      </c>
      <c r="K209" s="12">
        <v>4241.60999961676</v>
      </c>
      <c r="L209" s="12">
        <v>1137.58692262178</v>
      </c>
      <c r="M209" s="12">
        <v>1516.84254132399</v>
      </c>
      <c r="N209" s="12">
        <v>6023.94440530757</v>
      </c>
    </row>
    <row r="210" spans="2:14">
      <c r="B210" s="11" t="s">
        <v>191</v>
      </c>
      <c r="C210" s="20">
        <v>1</v>
      </c>
      <c r="D210" s="12">
        <v>2312</v>
      </c>
      <c r="E210" s="12">
        <v>3950.32116762381</v>
      </c>
      <c r="F210" s="12">
        <v>-1638.32116762381</v>
      </c>
      <c r="G210" s="12">
        <v>-1.47272789281953</v>
      </c>
      <c r="H210" s="12">
        <v>-1.5090952504355</v>
      </c>
      <c r="I210" s="12">
        <v>242.748576692035</v>
      </c>
      <c r="J210" s="12">
        <v>3469.4381068523</v>
      </c>
      <c r="K210" s="12">
        <v>4431.20422839533</v>
      </c>
      <c r="L210" s="12">
        <v>1138.61725273033</v>
      </c>
      <c r="M210" s="12">
        <v>1694.72915962262</v>
      </c>
      <c r="N210" s="12">
        <v>6205.91317562501</v>
      </c>
    </row>
    <row r="211" spans="2:14">
      <c r="B211" s="11" t="s">
        <v>192</v>
      </c>
      <c r="C211" s="20">
        <v>1</v>
      </c>
      <c r="D211" s="12">
        <v>2375</v>
      </c>
      <c r="E211" s="12">
        <v>4130.24886193185</v>
      </c>
      <c r="F211" s="12">
        <v>-1755.24886193185</v>
      </c>
      <c r="G211" s="12">
        <v>-1.57783712308131</v>
      </c>
      <c r="H211" s="12">
        <v>-1.61876234106477</v>
      </c>
      <c r="I211" s="12">
        <v>248.561035598864</v>
      </c>
      <c r="J211" s="12">
        <v>3637.8513648336</v>
      </c>
      <c r="K211" s="12">
        <v>4622.6463590301</v>
      </c>
      <c r="L211" s="12">
        <v>1139.87059140375</v>
      </c>
      <c r="M211" s="12">
        <v>1872.17399967185</v>
      </c>
      <c r="N211" s="12">
        <v>6388.32372419185</v>
      </c>
    </row>
    <row r="212" spans="2:14">
      <c r="B212" s="11" t="s">
        <v>193</v>
      </c>
      <c r="C212" s="20">
        <v>1</v>
      </c>
      <c r="D212" s="12">
        <v>2420</v>
      </c>
      <c r="E212" s="12">
        <v>4490.10425054792</v>
      </c>
      <c r="F212" s="12">
        <v>-2070.10425054792</v>
      </c>
      <c r="G212" s="12">
        <v>-1.86086851044472</v>
      </c>
      <c r="H212" s="12">
        <v>-1.91504255685527</v>
      </c>
      <c r="I212" s="12">
        <v>262.726945691946</v>
      </c>
      <c r="J212" s="12">
        <v>3969.64419466146</v>
      </c>
      <c r="K212" s="12">
        <v>5010.56430643438</v>
      </c>
      <c r="L212" s="12">
        <v>1143.04322959448</v>
      </c>
      <c r="M212" s="12">
        <v>2225.74441646782</v>
      </c>
      <c r="N212" s="12">
        <v>6754.46408462801</v>
      </c>
    </row>
    <row r="213" spans="2:14">
      <c r="B213" s="11" t="s">
        <v>194</v>
      </c>
      <c r="C213" s="20">
        <v>1</v>
      </c>
      <c r="D213" s="12">
        <v>2450</v>
      </c>
      <c r="E213" s="12">
        <v>4670.03194485595</v>
      </c>
      <c r="F213" s="12">
        <v>-2220.03194485595</v>
      </c>
      <c r="G213" s="12">
        <v>-1.99564226645607</v>
      </c>
      <c r="H213" s="12">
        <v>-2.05760617052207</v>
      </c>
      <c r="I213" s="12">
        <v>270.947579127931</v>
      </c>
      <c r="J213" s="12">
        <v>4133.28687744832</v>
      </c>
      <c r="K213" s="12">
        <v>5206.77701226358</v>
      </c>
      <c r="L213" s="12">
        <v>1144.96068376362</v>
      </c>
      <c r="M213" s="12">
        <v>2401.87364883508</v>
      </c>
      <c r="N213" s="12">
        <v>6938.19024087682</v>
      </c>
    </row>
    <row r="214" spans="2:14">
      <c r="B214" s="11" t="s">
        <v>195</v>
      </c>
      <c r="C214" s="20">
        <v>1</v>
      </c>
      <c r="D214" s="12">
        <v>2484</v>
      </c>
      <c r="E214" s="12">
        <v>4849.95963916398</v>
      </c>
      <c r="F214" s="12">
        <v>-2365.95963916398</v>
      </c>
      <c r="G214" s="12">
        <v>-2.12682032237657</v>
      </c>
      <c r="H214" s="12">
        <v>-2.19748473100909</v>
      </c>
      <c r="I214" s="12">
        <v>279.839612126041</v>
      </c>
      <c r="J214" s="12">
        <v>4295.59952287375</v>
      </c>
      <c r="K214" s="12">
        <v>5404.31975545421</v>
      </c>
      <c r="L214" s="12">
        <v>1147.09746109213</v>
      </c>
      <c r="M214" s="12">
        <v>2577.56840371283</v>
      </c>
      <c r="N214" s="12">
        <v>7122.35087461513</v>
      </c>
    </row>
    <row r="215" spans="2:14">
      <c r="B215" s="11" t="s">
        <v>196</v>
      </c>
      <c r="C215" s="20">
        <v>1</v>
      </c>
      <c r="D215" s="12">
        <v>450</v>
      </c>
      <c r="E215" s="12">
        <v>-2198.93609747799</v>
      </c>
      <c r="F215" s="12">
        <v>2648.93609747799</v>
      </c>
      <c r="G215" s="12">
        <v>2.3811949415941</v>
      </c>
      <c r="H215" s="12">
        <v>2.46763519076231</v>
      </c>
      <c r="I215" s="12">
        <v>291.858311224926</v>
      </c>
      <c r="J215" s="12">
        <v>-2777.10516411481</v>
      </c>
      <c r="K215" s="12">
        <v>-1620.76703084118</v>
      </c>
      <c r="L215" s="12">
        <v>1150.08854031341</v>
      </c>
      <c r="M215" s="12">
        <v>-4477.25263782913</v>
      </c>
      <c r="N215" s="12">
        <v>79.3804428731419</v>
      </c>
    </row>
    <row r="216" spans="2:14">
      <c r="B216" s="11" t="s">
        <v>197</v>
      </c>
      <c r="C216" s="20">
        <v>1</v>
      </c>
      <c r="D216" s="12">
        <v>470</v>
      </c>
      <c r="E216" s="12">
        <v>-2019.00840316996</v>
      </c>
      <c r="F216" s="12">
        <v>2489.00840316996</v>
      </c>
      <c r="G216" s="12">
        <v>2.2374319353556</v>
      </c>
      <c r="H216" s="12">
        <v>2.31322818037377</v>
      </c>
      <c r="I216" s="12">
        <v>282.435381595176</v>
      </c>
      <c r="J216" s="12">
        <v>-2578.51071878587</v>
      </c>
      <c r="K216" s="12">
        <v>-1459.50608755405</v>
      </c>
      <c r="L216" s="12">
        <v>1147.73347145841</v>
      </c>
      <c r="M216" s="12">
        <v>-4292.65957025814</v>
      </c>
      <c r="N216" s="12">
        <v>254.642763918221</v>
      </c>
    </row>
    <row r="217" spans="2:14">
      <c r="B217" s="11" t="s">
        <v>198</v>
      </c>
      <c r="C217" s="20">
        <v>1</v>
      </c>
      <c r="D217" s="12">
        <v>522</v>
      </c>
      <c r="E217" s="12">
        <v>-1479.22532024586</v>
      </c>
      <c r="F217" s="12">
        <v>2001.22532024586</v>
      </c>
      <c r="G217" s="12">
        <v>1.79895151645841</v>
      </c>
      <c r="H217" s="12">
        <v>1.84940303959093</v>
      </c>
      <c r="I217" s="12">
        <v>258.06590056698</v>
      </c>
      <c r="J217" s="12">
        <v>-1990.45188163924</v>
      </c>
      <c r="K217" s="12">
        <v>-967.998758852473</v>
      </c>
      <c r="L217" s="12">
        <v>1141.9809042907</v>
      </c>
      <c r="M217" s="12">
        <v>-3741.48069608122</v>
      </c>
      <c r="N217" s="12">
        <v>783.030055589502</v>
      </c>
    </row>
    <row r="218" spans="2:14">
      <c r="B218" s="11" t="s">
        <v>199</v>
      </c>
      <c r="C218" s="20">
        <v>1</v>
      </c>
      <c r="D218" s="12">
        <v>590</v>
      </c>
      <c r="E218" s="12">
        <v>-1119.36993162979</v>
      </c>
      <c r="F218" s="12">
        <v>1709.36993162979</v>
      </c>
      <c r="G218" s="12">
        <v>1.53659540461743</v>
      </c>
      <c r="H218" s="12">
        <v>1.57550423896825</v>
      </c>
      <c r="I218" s="12">
        <v>245.701501947038</v>
      </c>
      <c r="J218" s="12">
        <v>-1606.10271458797</v>
      </c>
      <c r="K218" s="12">
        <v>-632.637148671615</v>
      </c>
      <c r="L218" s="12">
        <v>1139.2504574448</v>
      </c>
      <c r="M218" s="12">
        <v>-3376.21631329339</v>
      </c>
      <c r="N218" s="12">
        <v>1137.47645003381</v>
      </c>
    </row>
    <row r="219" spans="2:14">
      <c r="B219" s="11" t="s">
        <v>200</v>
      </c>
      <c r="C219" s="20">
        <v>1</v>
      </c>
      <c r="D219" s="12">
        <v>598</v>
      </c>
      <c r="E219" s="12">
        <v>-939.442237321758</v>
      </c>
      <c r="F219" s="12">
        <v>1537.44223732176</v>
      </c>
      <c r="G219" s="12">
        <v>1.38204529810636</v>
      </c>
      <c r="H219" s="12">
        <v>1.41562915764643</v>
      </c>
      <c r="I219" s="12">
        <v>240.874553297293</v>
      </c>
      <c r="J219" s="12">
        <v>-1416.61287218206</v>
      </c>
      <c r="K219" s="12">
        <v>-462.271602461451</v>
      </c>
      <c r="L219" s="12">
        <v>1138.21919117336</v>
      </c>
      <c r="M219" s="12">
        <v>-3194.24568844447</v>
      </c>
      <c r="N219" s="12">
        <v>1315.36121380095</v>
      </c>
    </row>
    <row r="220" spans="2:14">
      <c r="B220" s="11" t="s">
        <v>201</v>
      </c>
      <c r="C220" s="20">
        <v>1</v>
      </c>
      <c r="D220" s="12">
        <v>612</v>
      </c>
      <c r="E220" s="12">
        <v>-759.514543013724</v>
      </c>
      <c r="F220" s="12">
        <v>1371.51454301372</v>
      </c>
      <c r="G220" s="12">
        <v>1.23288874173158</v>
      </c>
      <c r="H220" s="12">
        <v>1.2618651815608</v>
      </c>
      <c r="I220" s="12">
        <v>237.028158728471</v>
      </c>
      <c r="J220" s="12">
        <v>-1229.06549985822</v>
      </c>
      <c r="K220" s="12">
        <v>-289.963586169229</v>
      </c>
      <c r="L220" s="12">
        <v>1137.41141402721</v>
      </c>
      <c r="M220" s="12">
        <v>-3012.71779383143</v>
      </c>
      <c r="N220" s="12">
        <v>1493.68870780398</v>
      </c>
    </row>
    <row r="221" spans="2:14">
      <c r="B221" s="11" t="s">
        <v>202</v>
      </c>
      <c r="C221" s="20">
        <v>1</v>
      </c>
      <c r="D221" s="12">
        <v>642</v>
      </c>
      <c r="E221" s="12">
        <v>-399.659154397656</v>
      </c>
      <c r="F221" s="12">
        <v>1041.65915439766</v>
      </c>
      <c r="G221" s="12">
        <v>0.936373479027456</v>
      </c>
      <c r="H221" s="12">
        <v>0.957512064141468</v>
      </c>
      <c r="I221" s="12">
        <v>232.459392042963</v>
      </c>
      <c r="J221" s="12">
        <v>-860.159419626909</v>
      </c>
      <c r="K221" s="12">
        <v>60.8411108315981</v>
      </c>
      <c r="L221" s="12">
        <v>1136.4681014785</v>
      </c>
      <c r="M221" s="12">
        <v>-2650.99371032179</v>
      </c>
      <c r="N221" s="12">
        <v>1851.67540152647</v>
      </c>
    </row>
    <row r="222" spans="2:14">
      <c r="B222" s="11" t="s">
        <v>203</v>
      </c>
      <c r="C222" s="20">
        <v>1</v>
      </c>
      <c r="D222" s="12">
        <v>649</v>
      </c>
      <c r="E222" s="12">
        <v>-39.8037657815876</v>
      </c>
      <c r="F222" s="12">
        <v>688.803765781588</v>
      </c>
      <c r="G222" s="12">
        <v>0.619182940800899</v>
      </c>
      <c r="H222" s="12">
        <v>0.63313339370926</v>
      </c>
      <c r="I222" s="12">
        <v>232.237574081701</v>
      </c>
      <c r="J222" s="12">
        <v>-499.86461133803</v>
      </c>
      <c r="K222" s="12">
        <v>420.257079774855</v>
      </c>
      <c r="L222" s="12">
        <v>1136.42275036384</v>
      </c>
      <c r="M222" s="12">
        <v>-2291.04848149687</v>
      </c>
      <c r="N222" s="12">
        <v>2211.4409499337</v>
      </c>
    </row>
    <row r="223" spans="2:14">
      <c r="B223" s="11" t="s">
        <v>204</v>
      </c>
      <c r="C223" s="20">
        <v>1</v>
      </c>
      <c r="D223" s="12">
        <v>654</v>
      </c>
      <c r="E223" s="12">
        <v>140.123928526446</v>
      </c>
      <c r="F223" s="12">
        <v>513.876071473554</v>
      </c>
      <c r="G223" s="12">
        <v>0.461936059221693</v>
      </c>
      <c r="H223" s="12">
        <v>0.472486243499127</v>
      </c>
      <c r="I223" s="12">
        <v>233.770110587062</v>
      </c>
      <c r="J223" s="12">
        <v>-322.972860043483</v>
      </c>
      <c r="K223" s="12">
        <v>603.220717096374</v>
      </c>
      <c r="L223" s="12">
        <v>1136.73692705615</v>
      </c>
      <c r="M223" s="12">
        <v>-2111.7431687965</v>
      </c>
      <c r="N223" s="12">
        <v>2391.99102584939</v>
      </c>
    </row>
    <row r="224" spans="2:14">
      <c r="B224" s="11" t="s">
        <v>205</v>
      </c>
      <c r="C224" s="20">
        <v>1</v>
      </c>
      <c r="D224" s="12">
        <v>710</v>
      </c>
      <c r="E224" s="12">
        <v>499.979317142514</v>
      </c>
      <c r="F224" s="12">
        <v>210.020682857486</v>
      </c>
      <c r="G224" s="12">
        <v>0.188792847108136</v>
      </c>
      <c r="H224" s="12">
        <v>0.193346744312202</v>
      </c>
      <c r="I224" s="12">
        <v>240.017161660683</v>
      </c>
      <c r="J224" s="12">
        <v>24.5071685106806</v>
      </c>
      <c r="K224" s="12">
        <v>975.451465774347</v>
      </c>
      <c r="L224" s="12">
        <v>1138.03805499676</v>
      </c>
      <c r="M224" s="12">
        <v>-1754.46530460947</v>
      </c>
      <c r="N224" s="12">
        <v>2754.4239388945</v>
      </c>
    </row>
    <row r="225" spans="2:14">
      <c r="B225" s="11" t="s">
        <v>206</v>
      </c>
      <c r="C225" s="20">
        <v>1</v>
      </c>
      <c r="D225" s="12">
        <v>756</v>
      </c>
      <c r="E225" s="12">
        <v>859.834705758581</v>
      </c>
      <c r="F225" s="12">
        <v>-103.834705758581</v>
      </c>
      <c r="G225" s="12">
        <v>-0.0933396152325632</v>
      </c>
      <c r="H225" s="12">
        <v>-0.0957943248581564</v>
      </c>
      <c r="I225" s="12">
        <v>250.219727693499</v>
      </c>
      <c r="J225" s="12">
        <v>364.151352396148</v>
      </c>
      <c r="K225" s="12">
        <v>1355.51805912101</v>
      </c>
      <c r="L225" s="12">
        <v>1140.23343612445</v>
      </c>
      <c r="M225" s="12">
        <v>-1398.95894909848</v>
      </c>
      <c r="N225" s="12">
        <v>3118.62836061564</v>
      </c>
    </row>
    <row r="226" spans="2:14">
      <c r="B226" s="11" t="s">
        <v>207</v>
      </c>
      <c r="C226" s="20">
        <v>1</v>
      </c>
      <c r="D226" s="12">
        <v>776</v>
      </c>
      <c r="E226" s="12">
        <v>1039.76240006661</v>
      </c>
      <c r="F226" s="12">
        <v>-263.762400066615</v>
      </c>
      <c r="G226" s="12">
        <v>-0.237102621471056</v>
      </c>
      <c r="H226" s="12">
        <v>-0.243677087204872</v>
      </c>
      <c r="I226" s="12">
        <v>256.664103645283</v>
      </c>
      <c r="J226" s="12">
        <v>531.312787578438</v>
      </c>
      <c r="K226" s="12">
        <v>1548.21201255479</v>
      </c>
      <c r="L226" s="12">
        <v>1141.6649415784</v>
      </c>
      <c r="M226" s="12">
        <v>-1221.86705606922</v>
      </c>
      <c r="N226" s="12">
        <v>3301.39185620245</v>
      </c>
    </row>
    <row r="227" spans="2:14">
      <c r="B227" s="11" t="s">
        <v>208</v>
      </c>
      <c r="C227" s="20">
        <v>1</v>
      </c>
      <c r="D227" s="12">
        <v>778</v>
      </c>
      <c r="E227" s="12">
        <v>1219.69009437465</v>
      </c>
      <c r="F227" s="12">
        <v>-441.690094374649</v>
      </c>
      <c r="G227" s="12">
        <v>-0.397046278118406</v>
      </c>
      <c r="H227" s="12">
        <v>-0.408715035816009</v>
      </c>
      <c r="I227" s="12">
        <v>263.919471259631</v>
      </c>
      <c r="J227" s="12">
        <v>696.867654523465</v>
      </c>
      <c r="K227" s="12">
        <v>1742.51253422583</v>
      </c>
      <c r="L227" s="12">
        <v>1143.31791905801</v>
      </c>
      <c r="M227" s="12">
        <v>-1045.21389741702</v>
      </c>
      <c r="N227" s="12">
        <v>3484.59408616632</v>
      </c>
    </row>
    <row r="228" ht="15.15" spans="2:14">
      <c r="B228" s="13" t="s">
        <v>209</v>
      </c>
      <c r="C228" s="21">
        <v>1</v>
      </c>
      <c r="D228" s="14">
        <v>783</v>
      </c>
      <c r="E228" s="14">
        <v>1579.54548299072</v>
      </c>
      <c r="F228" s="14">
        <v>-796.545482990716</v>
      </c>
      <c r="G228" s="14">
        <v>-0.71603466639039</v>
      </c>
      <c r="H228" s="14">
        <v>-0.739962045286261</v>
      </c>
      <c r="I228" s="14">
        <v>280.604639021725</v>
      </c>
      <c r="J228" s="14">
        <v>1023.66985431239</v>
      </c>
      <c r="K228" s="14">
        <v>2135.42111166904</v>
      </c>
      <c r="L228" s="14">
        <v>1147.28433274829</v>
      </c>
      <c r="M228" s="14">
        <v>-693.215943771981</v>
      </c>
      <c r="N228" s="14">
        <v>3852.30690975341</v>
      </c>
    </row>
  </sheetData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0"/>
  <sheetViews>
    <sheetView workbookViewId="0">
      <selection activeCell="A98" sqref="A98"/>
    </sheetView>
  </sheetViews>
  <sheetFormatPr defaultColWidth="9" defaultRowHeight="14.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</row>
    <row r="2" spans="1:42">
      <c r="A2">
        <v>1</v>
      </c>
      <c r="B2">
        <v>9</v>
      </c>
      <c r="C2">
        <v>35</v>
      </c>
      <c r="D2">
        <v>15</v>
      </c>
      <c r="E2">
        <v>60</v>
      </c>
      <c r="F2">
        <v>4731</v>
      </c>
      <c r="G2">
        <f>3671-2090*A2+321.93505*B2+35.98554*C2-109.01381*D2+2.30058*E2</f>
        <v>4240.737</v>
      </c>
      <c r="H2">
        <f>711.480358217539*(A2^-1.26650157594612)*(B2^0.837564629083682)*(C2^0.372299576829688)*(D2^-0.61984074741796)*(E2^0.062306612359528)</f>
        <v>4055.64435075936</v>
      </c>
      <c r="I2">
        <v>4083.744</v>
      </c>
      <c r="J2">
        <v>4198.843</v>
      </c>
      <c r="K2">
        <v>4858</v>
      </c>
      <c r="L2">
        <v>3118</v>
      </c>
      <c r="M2">
        <v>4116.903</v>
      </c>
      <c r="N2">
        <v>4207.634</v>
      </c>
      <c r="P2">
        <f>ABS($F2-G2)</f>
        <v>490.263</v>
      </c>
      <c r="Q2">
        <f t="shared" ref="Q2:W2" si="0">ABS($F2-H2)</f>
        <v>675.355649240635</v>
      </c>
      <c r="R2">
        <f t="shared" si="0"/>
        <v>647.256</v>
      </c>
      <c r="S2">
        <f t="shared" si="0"/>
        <v>532.157</v>
      </c>
      <c r="T2">
        <f t="shared" si="0"/>
        <v>127</v>
      </c>
      <c r="U2">
        <f t="shared" si="0"/>
        <v>1613</v>
      </c>
      <c r="V2">
        <f t="shared" si="0"/>
        <v>614.097</v>
      </c>
      <c r="W2">
        <f t="shared" si="0"/>
        <v>523.366</v>
      </c>
      <c r="X2">
        <f t="shared" ref="X2:X57" si="1">ABS(F2-4256.125)</f>
        <v>474.875</v>
      </c>
      <c r="Y2">
        <f>($F2-G2)^2</f>
        <v>240357.809169</v>
      </c>
      <c r="Z2">
        <f t="shared" ref="Z2:AF2" si="2">($F2-H2)^2</f>
        <v>456105.25296124</v>
      </c>
      <c r="AA2">
        <f t="shared" si="2"/>
        <v>418940.329536</v>
      </c>
      <c r="AB2">
        <f t="shared" si="2"/>
        <v>283191.072649</v>
      </c>
      <c r="AC2">
        <f t="shared" si="2"/>
        <v>16129</v>
      </c>
      <c r="AD2">
        <f t="shared" si="2"/>
        <v>2601769</v>
      </c>
      <c r="AE2">
        <f t="shared" si="2"/>
        <v>377115.125409</v>
      </c>
      <c r="AF2">
        <f t="shared" si="2"/>
        <v>273911.969956</v>
      </c>
      <c r="AG2">
        <f t="shared" ref="AG2:AG57" si="3">(F2-4256.125)^2</f>
        <v>225506.265625</v>
      </c>
      <c r="AI2">
        <f>(ABS(G2-4256.125)+ABS($F2-4256.125))^2</f>
        <v>240357.809169</v>
      </c>
      <c r="AJ2">
        <f t="shared" ref="AJ2:AP2" si="4">(ABS(H2-4256.125)+ABS($F2-4256.125))^2</f>
        <v>456105.25296124</v>
      </c>
      <c r="AK2">
        <f t="shared" si="4"/>
        <v>418940.329536</v>
      </c>
      <c r="AL2">
        <f t="shared" si="4"/>
        <v>283191.072649</v>
      </c>
      <c r="AM2">
        <f t="shared" si="4"/>
        <v>1159390.5625</v>
      </c>
      <c r="AN2">
        <f t="shared" si="4"/>
        <v>2601769</v>
      </c>
      <c r="AO2">
        <f t="shared" si="4"/>
        <v>377115.125409</v>
      </c>
      <c r="AP2">
        <f t="shared" si="4"/>
        <v>273911.969956</v>
      </c>
    </row>
    <row r="3" spans="1:42">
      <c r="A3">
        <v>1</v>
      </c>
      <c r="B3">
        <v>9</v>
      </c>
      <c r="C3">
        <v>65</v>
      </c>
      <c r="D3">
        <v>15</v>
      </c>
      <c r="E3">
        <v>60</v>
      </c>
      <c r="F3">
        <v>5584</v>
      </c>
      <c r="G3">
        <f t="shared" ref="G3:G57" si="5">3671-2090*A3+321.93505*B3+35.98554*C3-109.01381*D3+2.30058*E3</f>
        <v>5320.3032</v>
      </c>
      <c r="H3">
        <f t="shared" ref="H3:H57" si="6">711.480358217539*(A3^-1.26650157594612)*(B3^0.837564629083682)*(C3^0.372299576829688)*(D3^-0.61984074741796)*(E3^0.062306612359528)</f>
        <v>5106.82363476884</v>
      </c>
      <c r="I3">
        <v>5028.255</v>
      </c>
      <c r="J3">
        <v>5541.423</v>
      </c>
      <c r="K3">
        <v>5510</v>
      </c>
      <c r="L3">
        <v>5477.545</v>
      </c>
      <c r="M3">
        <v>5605.271</v>
      </c>
      <c r="N3">
        <v>5495.978</v>
      </c>
      <c r="P3">
        <f t="shared" ref="P3:P57" si="7">ABS($F3-G3)</f>
        <v>263.696799999999</v>
      </c>
      <c r="Q3">
        <f t="shared" ref="Q3:Q57" si="8">ABS($F3-H3)</f>
        <v>477.176365231165</v>
      </c>
      <c r="R3">
        <f t="shared" ref="R3:R57" si="9">ABS($F3-I3)</f>
        <v>555.745</v>
      </c>
      <c r="S3">
        <f t="shared" ref="S3:S57" si="10">ABS($F3-J3)</f>
        <v>42.5770000000002</v>
      </c>
      <c r="T3">
        <f t="shared" ref="T3:T57" si="11">ABS($F3-K3)</f>
        <v>74</v>
      </c>
      <c r="U3">
        <f t="shared" ref="U3:U57" si="12">ABS($F3-L3)</f>
        <v>106.455</v>
      </c>
      <c r="V3">
        <f t="shared" ref="V3:V57" si="13">ABS($F3-M3)</f>
        <v>21.2709999999997</v>
      </c>
      <c r="W3">
        <f t="shared" ref="W3:W57" si="14">ABS($F3-N3)</f>
        <v>88.0219999999999</v>
      </c>
      <c r="X3">
        <f t="shared" si="1"/>
        <v>1327.875</v>
      </c>
      <c r="Y3">
        <f t="shared" ref="Y3:Y57" si="15">($F3-G3)^2</f>
        <v>69536.0023302394</v>
      </c>
      <c r="Z3">
        <f t="shared" ref="Z3:Z57" si="16">($F3-H3)^2</f>
        <v>227697.283535226</v>
      </c>
      <c r="AA3">
        <f t="shared" ref="AA3:AA57" si="17">($F3-I3)^2</f>
        <v>308852.505025</v>
      </c>
      <c r="AB3">
        <f t="shared" ref="AB3:AB57" si="18">($F3-J3)^2</f>
        <v>1812.80092900002</v>
      </c>
      <c r="AC3">
        <f t="shared" ref="AC3:AC57" si="19">($F3-K3)^2</f>
        <v>5476</v>
      </c>
      <c r="AD3">
        <f t="shared" ref="AD3:AD57" si="20">($F3-L3)^2</f>
        <v>11332.667025</v>
      </c>
      <c r="AE3">
        <f t="shared" ref="AE3:AE57" si="21">($F3-M3)^2</f>
        <v>452.455440999989</v>
      </c>
      <c r="AF3">
        <f t="shared" ref="AF3:AF57" si="22">($F3-N3)^2</f>
        <v>7747.87248399999</v>
      </c>
      <c r="AG3">
        <f t="shared" si="3"/>
        <v>1763252.015625</v>
      </c>
      <c r="AI3">
        <f t="shared" ref="AI3:AI57" si="23">(ABS(G3-4256.125)+ABS($F3-4256.125))^2</f>
        <v>5721918.51163025</v>
      </c>
      <c r="AJ3">
        <f t="shared" ref="AJ3:AJ57" si="24">(ABS(H3-4256.125)+ABS($F3-4256.125))^2</f>
        <v>4746183.08210989</v>
      </c>
      <c r="AK3">
        <f t="shared" ref="AK3:AK57" si="25">(ABS(I3-4256.125)+ABS($F3-4256.125))^2</f>
        <v>4410021.000025</v>
      </c>
      <c r="AL3">
        <f t="shared" ref="AL3:AL57" si="26">(ABS(J3-4256.125)+ABS($F3-4256.125))^2</f>
        <v>6828673.127929</v>
      </c>
      <c r="AM3">
        <f t="shared" ref="AM3:AM57" si="27">(ABS(K3-4256.125)+ABS($F3-4256.125))^2</f>
        <v>6665433.0625</v>
      </c>
      <c r="AN3">
        <f t="shared" ref="AN3:AN57" si="28">(ABS(L3-4256.125)+ABS($F3-4256.125))^2</f>
        <v>6498904.997025</v>
      </c>
      <c r="AO3">
        <f t="shared" ref="AO3:AO57" si="29">(ABS(M3-4256.125)+ABS($F3-4256.125))^2</f>
        <v>7166441.434441</v>
      </c>
      <c r="AP3">
        <f t="shared" ref="AP3:AP57" si="30">(ABS(N3-4256.125)+ABS($F3-4256.125))^2</f>
        <v>6593227.081984</v>
      </c>
    </row>
    <row r="4" spans="1:42">
      <c r="A4">
        <v>1</v>
      </c>
      <c r="B4">
        <v>9</v>
      </c>
      <c r="C4">
        <v>100</v>
      </c>
      <c r="D4">
        <v>15</v>
      </c>
      <c r="E4">
        <v>60</v>
      </c>
      <c r="F4">
        <v>5845</v>
      </c>
      <c r="G4">
        <f t="shared" si="5"/>
        <v>6579.7971</v>
      </c>
      <c r="H4">
        <f t="shared" si="6"/>
        <v>5995.19257411214</v>
      </c>
      <c r="I4">
        <v>5947.359</v>
      </c>
      <c r="J4">
        <v>5482.86</v>
      </c>
      <c r="K4">
        <v>5770.4</v>
      </c>
      <c r="L4">
        <v>5477.545</v>
      </c>
      <c r="M4">
        <v>5817.523</v>
      </c>
      <c r="N4">
        <v>5838.348</v>
      </c>
      <c r="P4">
        <f t="shared" si="7"/>
        <v>734.797100000001</v>
      </c>
      <c r="Q4">
        <f t="shared" si="8"/>
        <v>150.19257411214</v>
      </c>
      <c r="R4">
        <f t="shared" si="9"/>
        <v>102.359</v>
      </c>
      <c r="S4">
        <f t="shared" si="10"/>
        <v>362.14</v>
      </c>
      <c r="T4">
        <f t="shared" si="11"/>
        <v>74.6000000000004</v>
      </c>
      <c r="U4">
        <f t="shared" si="12"/>
        <v>367.455</v>
      </c>
      <c r="V4">
        <f t="shared" si="13"/>
        <v>27.4769999999999</v>
      </c>
      <c r="W4">
        <f t="shared" si="14"/>
        <v>6.65200000000004</v>
      </c>
      <c r="X4">
        <f t="shared" si="1"/>
        <v>1588.875</v>
      </c>
      <c r="Y4">
        <f t="shared" si="15"/>
        <v>539926.778168411</v>
      </c>
      <c r="Z4">
        <f t="shared" si="16"/>
        <v>22557.8093184308</v>
      </c>
      <c r="AA4">
        <f t="shared" si="17"/>
        <v>10477.3648810001</v>
      </c>
      <c r="AB4">
        <f t="shared" si="18"/>
        <v>131145.3796</v>
      </c>
      <c r="AC4">
        <f t="shared" si="19"/>
        <v>5565.16000000005</v>
      </c>
      <c r="AD4">
        <f t="shared" si="20"/>
        <v>135023.177025</v>
      </c>
      <c r="AE4">
        <f t="shared" si="21"/>
        <v>754.985528999992</v>
      </c>
      <c r="AF4">
        <f t="shared" si="22"/>
        <v>44.2491040000006</v>
      </c>
      <c r="AG4">
        <f t="shared" si="3"/>
        <v>2524523.765625</v>
      </c>
      <c r="AI4">
        <f t="shared" si="23"/>
        <v>15308024.8097184</v>
      </c>
      <c r="AJ4">
        <f t="shared" si="24"/>
        <v>11075201.7765881</v>
      </c>
      <c r="AK4">
        <f t="shared" si="25"/>
        <v>10759115.051881</v>
      </c>
      <c r="AL4">
        <f t="shared" si="26"/>
        <v>7927659.6721</v>
      </c>
      <c r="AM4">
        <f t="shared" si="27"/>
        <v>9629539.9225</v>
      </c>
      <c r="AN4">
        <f t="shared" si="28"/>
        <v>7897757.987025</v>
      </c>
      <c r="AO4">
        <f t="shared" si="29"/>
        <v>9924219.974529</v>
      </c>
      <c r="AP4">
        <f t="shared" si="30"/>
        <v>10055862.525604</v>
      </c>
    </row>
    <row r="5" spans="1:42">
      <c r="A5">
        <v>1</v>
      </c>
      <c r="B5">
        <v>9</v>
      </c>
      <c r="C5">
        <v>5</v>
      </c>
      <c r="D5">
        <v>45</v>
      </c>
      <c r="E5">
        <v>60</v>
      </c>
      <c r="F5">
        <v>932</v>
      </c>
      <c r="G5">
        <f t="shared" si="5"/>
        <v>-109.2435</v>
      </c>
      <c r="H5">
        <f t="shared" si="6"/>
        <v>994.697498702288</v>
      </c>
      <c r="I5">
        <v>663.655</v>
      </c>
      <c r="J5">
        <v>995.224</v>
      </c>
      <c r="K5">
        <v>995.25</v>
      </c>
      <c r="L5">
        <v>1040.2</v>
      </c>
      <c r="M5">
        <v>1076.169</v>
      </c>
      <c r="N5">
        <v>774.405</v>
      </c>
      <c r="P5">
        <f t="shared" si="7"/>
        <v>1041.2435</v>
      </c>
      <c r="Q5">
        <f t="shared" si="8"/>
        <v>62.6974987022884</v>
      </c>
      <c r="R5">
        <f t="shared" si="9"/>
        <v>268.345</v>
      </c>
      <c r="S5">
        <f t="shared" si="10"/>
        <v>63.224</v>
      </c>
      <c r="T5">
        <f t="shared" si="11"/>
        <v>63.25</v>
      </c>
      <c r="U5">
        <f t="shared" si="12"/>
        <v>108.2</v>
      </c>
      <c r="V5">
        <f t="shared" si="13"/>
        <v>144.169</v>
      </c>
      <c r="W5">
        <f t="shared" si="14"/>
        <v>157.595</v>
      </c>
      <c r="X5">
        <f t="shared" si="1"/>
        <v>3324.125</v>
      </c>
      <c r="Y5">
        <f t="shared" si="15"/>
        <v>1084188.02629225</v>
      </c>
      <c r="Z5">
        <f t="shared" si="16"/>
        <v>3930.97634352345</v>
      </c>
      <c r="AA5">
        <f t="shared" si="17"/>
        <v>72009.039025</v>
      </c>
      <c r="AB5">
        <f t="shared" si="18"/>
        <v>3997.27417600001</v>
      </c>
      <c r="AC5">
        <f t="shared" si="19"/>
        <v>4000.5625</v>
      </c>
      <c r="AD5">
        <f t="shared" si="20"/>
        <v>11707.24</v>
      </c>
      <c r="AE5">
        <f t="shared" si="21"/>
        <v>20784.700561</v>
      </c>
      <c r="AF5">
        <f t="shared" si="22"/>
        <v>24836.184025</v>
      </c>
      <c r="AG5">
        <f t="shared" si="3"/>
        <v>11049807.015625</v>
      </c>
      <c r="AI5">
        <f t="shared" si="23"/>
        <v>59128310.2865422</v>
      </c>
      <c r="AJ5">
        <f t="shared" si="24"/>
        <v>43369501.7473485</v>
      </c>
      <c r="AK5">
        <f t="shared" si="25"/>
        <v>47839286.394025</v>
      </c>
      <c r="AL5">
        <f t="shared" si="26"/>
        <v>43362567.420676</v>
      </c>
      <c r="AM5">
        <f t="shared" si="27"/>
        <v>43362225</v>
      </c>
      <c r="AN5">
        <f t="shared" si="28"/>
        <v>42772254.0025</v>
      </c>
      <c r="AO5">
        <f t="shared" si="29"/>
        <v>42303069.654561</v>
      </c>
      <c r="AP5">
        <f t="shared" si="30"/>
        <v>46319526.164025</v>
      </c>
    </row>
    <row r="6" spans="1:42">
      <c r="A6">
        <v>1</v>
      </c>
      <c r="B6">
        <v>9</v>
      </c>
      <c r="C6">
        <v>40</v>
      </c>
      <c r="D6">
        <v>45</v>
      </c>
      <c r="E6">
        <v>60</v>
      </c>
      <c r="F6">
        <v>1670</v>
      </c>
      <c r="G6">
        <f t="shared" si="5"/>
        <v>1150.2504</v>
      </c>
      <c r="H6">
        <f t="shared" si="6"/>
        <v>2157.30249548605</v>
      </c>
      <c r="I6">
        <v>1616.619</v>
      </c>
      <c r="J6">
        <v>1694.618</v>
      </c>
      <c r="K6">
        <v>1220</v>
      </c>
      <c r="L6">
        <v>1040.2</v>
      </c>
      <c r="M6">
        <v>1567.063</v>
      </c>
      <c r="N6">
        <v>1542.733</v>
      </c>
      <c r="P6">
        <f t="shared" si="7"/>
        <v>519.749600000001</v>
      </c>
      <c r="Q6">
        <f t="shared" si="8"/>
        <v>487.302495486048</v>
      </c>
      <c r="R6">
        <f t="shared" si="9"/>
        <v>53.3810000000001</v>
      </c>
      <c r="S6">
        <f t="shared" si="10"/>
        <v>24.6179999999999</v>
      </c>
      <c r="T6">
        <f t="shared" si="11"/>
        <v>450</v>
      </c>
      <c r="U6">
        <f t="shared" si="12"/>
        <v>629.8</v>
      </c>
      <c r="V6">
        <f t="shared" si="13"/>
        <v>102.937</v>
      </c>
      <c r="W6">
        <f t="shared" si="14"/>
        <v>127.267</v>
      </c>
      <c r="X6">
        <f t="shared" si="1"/>
        <v>2586.125</v>
      </c>
      <c r="Y6">
        <f t="shared" si="15"/>
        <v>270139.646700161</v>
      </c>
      <c r="Z6">
        <f t="shared" si="16"/>
        <v>237463.72210693</v>
      </c>
      <c r="AA6">
        <f t="shared" si="17"/>
        <v>2849.53116100001</v>
      </c>
      <c r="AB6">
        <f t="shared" si="18"/>
        <v>606.045923999997</v>
      </c>
      <c r="AC6">
        <f t="shared" si="19"/>
        <v>202500</v>
      </c>
      <c r="AD6">
        <f t="shared" si="20"/>
        <v>396648.04</v>
      </c>
      <c r="AE6">
        <f t="shared" si="21"/>
        <v>10596.025969</v>
      </c>
      <c r="AF6">
        <f t="shared" si="22"/>
        <v>16196.889289</v>
      </c>
      <c r="AG6">
        <f t="shared" si="3"/>
        <v>6688042.515625</v>
      </c>
      <c r="AI6">
        <f t="shared" si="23"/>
        <v>32398859.4464002</v>
      </c>
      <c r="AJ6">
        <f t="shared" si="24"/>
        <v>21948733.1200515</v>
      </c>
      <c r="AK6">
        <f t="shared" si="25"/>
        <v>27307219.348161</v>
      </c>
      <c r="AL6">
        <f t="shared" si="26"/>
        <v>26498115.207424</v>
      </c>
      <c r="AM6">
        <f t="shared" si="27"/>
        <v>31609695.0625</v>
      </c>
      <c r="AN6">
        <f t="shared" si="28"/>
        <v>33663784.2025</v>
      </c>
      <c r="AO6">
        <f t="shared" si="29"/>
        <v>27827597.884969</v>
      </c>
      <c r="AP6">
        <f t="shared" si="30"/>
        <v>28084880.433289</v>
      </c>
    </row>
    <row r="7" spans="1:42">
      <c r="A7">
        <v>1</v>
      </c>
      <c r="B7">
        <v>9</v>
      </c>
      <c r="C7">
        <v>90</v>
      </c>
      <c r="D7">
        <v>45</v>
      </c>
      <c r="E7">
        <v>60</v>
      </c>
      <c r="F7">
        <v>3211</v>
      </c>
      <c r="G7">
        <f t="shared" si="5"/>
        <v>2949.5274</v>
      </c>
      <c r="H7">
        <f t="shared" si="6"/>
        <v>2917.61812529833</v>
      </c>
      <c r="I7">
        <v>2977.995</v>
      </c>
      <c r="J7">
        <v>3082.936</v>
      </c>
      <c r="K7">
        <v>3286.75</v>
      </c>
      <c r="L7">
        <v>3040.667</v>
      </c>
      <c r="M7">
        <v>3147.444</v>
      </c>
      <c r="N7">
        <v>3020.613</v>
      </c>
      <c r="P7">
        <f t="shared" si="7"/>
        <v>261.472600000001</v>
      </c>
      <c r="Q7">
        <f t="shared" si="8"/>
        <v>293.381874701669</v>
      </c>
      <c r="R7">
        <f t="shared" si="9"/>
        <v>233.005</v>
      </c>
      <c r="S7">
        <f t="shared" si="10"/>
        <v>128.064</v>
      </c>
      <c r="T7">
        <f t="shared" si="11"/>
        <v>75.75</v>
      </c>
      <c r="U7">
        <f t="shared" si="12"/>
        <v>170.333</v>
      </c>
      <c r="V7">
        <f t="shared" si="13"/>
        <v>63.556</v>
      </c>
      <c r="W7">
        <f t="shared" si="14"/>
        <v>190.387</v>
      </c>
      <c r="X7">
        <f t="shared" si="1"/>
        <v>1045.125</v>
      </c>
      <c r="Y7">
        <f t="shared" si="15"/>
        <v>68367.9205507603</v>
      </c>
      <c r="Z7">
        <f t="shared" si="16"/>
        <v>86072.9244034658</v>
      </c>
      <c r="AA7">
        <f t="shared" si="17"/>
        <v>54291.3300250001</v>
      </c>
      <c r="AB7">
        <f t="shared" si="18"/>
        <v>16400.388096</v>
      </c>
      <c r="AC7">
        <f t="shared" si="19"/>
        <v>5738.0625</v>
      </c>
      <c r="AD7">
        <f t="shared" si="20"/>
        <v>29013.330889</v>
      </c>
      <c r="AE7">
        <f t="shared" si="21"/>
        <v>4039.365136</v>
      </c>
      <c r="AF7">
        <f t="shared" si="22"/>
        <v>36247.2097690001</v>
      </c>
      <c r="AG7">
        <f t="shared" si="3"/>
        <v>1092286.265625</v>
      </c>
      <c r="AI7">
        <f t="shared" si="23"/>
        <v>5530599.18735076</v>
      </c>
      <c r="AJ7">
        <f t="shared" si="24"/>
        <v>5681700.91409379</v>
      </c>
      <c r="AK7">
        <f t="shared" si="25"/>
        <v>5397513.795025</v>
      </c>
      <c r="AL7">
        <f t="shared" si="26"/>
        <v>4920917.002596</v>
      </c>
      <c r="AM7">
        <f t="shared" si="27"/>
        <v>4058210.25</v>
      </c>
      <c r="AN7">
        <f t="shared" si="28"/>
        <v>5110235.499889</v>
      </c>
      <c r="AO7">
        <f t="shared" si="29"/>
        <v>4638880.285636</v>
      </c>
      <c r="AP7">
        <f t="shared" si="30"/>
        <v>5201305.125769</v>
      </c>
    </row>
    <row r="8" spans="1:42">
      <c r="A8">
        <v>1</v>
      </c>
      <c r="B8">
        <v>18</v>
      </c>
      <c r="C8">
        <v>5</v>
      </c>
      <c r="D8">
        <v>15</v>
      </c>
      <c r="E8">
        <v>60</v>
      </c>
      <c r="F8">
        <v>3321</v>
      </c>
      <c r="G8">
        <f t="shared" si="5"/>
        <v>6058.58625</v>
      </c>
      <c r="H8">
        <f t="shared" si="6"/>
        <v>3512.06299914296</v>
      </c>
      <c r="I8">
        <v>5494.926</v>
      </c>
      <c r="J8">
        <v>4478.333</v>
      </c>
      <c r="K8">
        <v>4205</v>
      </c>
      <c r="L8">
        <v>5040.2</v>
      </c>
      <c r="M8">
        <v>3650.419</v>
      </c>
      <c r="N8">
        <v>3855.779</v>
      </c>
      <c r="P8">
        <f t="shared" si="7"/>
        <v>2737.58625</v>
      </c>
      <c r="Q8">
        <f t="shared" si="8"/>
        <v>191.062999142956</v>
      </c>
      <c r="R8">
        <f t="shared" si="9"/>
        <v>2173.926</v>
      </c>
      <c r="S8">
        <f t="shared" si="10"/>
        <v>1157.333</v>
      </c>
      <c r="T8">
        <f t="shared" si="11"/>
        <v>884</v>
      </c>
      <c r="U8">
        <f t="shared" si="12"/>
        <v>1719.2</v>
      </c>
      <c r="V8">
        <f t="shared" si="13"/>
        <v>329.419</v>
      </c>
      <c r="W8">
        <f t="shared" si="14"/>
        <v>534.779</v>
      </c>
      <c r="X8">
        <f t="shared" si="1"/>
        <v>935.125</v>
      </c>
      <c r="Y8">
        <f t="shared" si="15"/>
        <v>7494378.47618906</v>
      </c>
      <c r="Z8">
        <f t="shared" si="16"/>
        <v>36505.069641501</v>
      </c>
      <c r="AA8">
        <f t="shared" si="17"/>
        <v>4725954.253476</v>
      </c>
      <c r="AB8">
        <f t="shared" si="18"/>
        <v>1339419.672889</v>
      </c>
      <c r="AC8">
        <f t="shared" si="19"/>
        <v>781456</v>
      </c>
      <c r="AD8">
        <f t="shared" si="20"/>
        <v>2955648.64</v>
      </c>
      <c r="AE8">
        <f t="shared" si="21"/>
        <v>108516.877561</v>
      </c>
      <c r="AF8">
        <f t="shared" si="22"/>
        <v>285988.578841</v>
      </c>
      <c r="AG8">
        <f t="shared" si="3"/>
        <v>874458.765625</v>
      </c>
      <c r="AI8">
        <f t="shared" si="23"/>
        <v>7494378.47618906</v>
      </c>
      <c r="AJ8">
        <f t="shared" si="24"/>
        <v>2819668.98384728</v>
      </c>
      <c r="AK8">
        <f t="shared" si="25"/>
        <v>4725954.253476</v>
      </c>
      <c r="AL8">
        <f t="shared" si="26"/>
        <v>1339419.672889</v>
      </c>
      <c r="AM8">
        <f t="shared" si="27"/>
        <v>972689.0625</v>
      </c>
      <c r="AN8">
        <f t="shared" si="28"/>
        <v>2955648.64</v>
      </c>
      <c r="AO8">
        <f t="shared" si="29"/>
        <v>2374160.170561</v>
      </c>
      <c r="AP8">
        <f t="shared" si="30"/>
        <v>1783482.791841</v>
      </c>
    </row>
    <row r="9" spans="1:42">
      <c r="A9">
        <v>1</v>
      </c>
      <c r="B9">
        <v>18</v>
      </c>
      <c r="C9">
        <v>45</v>
      </c>
      <c r="D9">
        <v>15</v>
      </c>
      <c r="E9">
        <v>60</v>
      </c>
      <c r="F9">
        <v>8865</v>
      </c>
      <c r="G9">
        <f t="shared" si="5"/>
        <v>7498.00785</v>
      </c>
      <c r="H9">
        <f t="shared" si="6"/>
        <v>7958.41129759069</v>
      </c>
      <c r="I9">
        <v>8157.115</v>
      </c>
      <c r="J9">
        <v>8404.95</v>
      </c>
      <c r="K9">
        <v>8808.333</v>
      </c>
      <c r="L9">
        <v>8914.6</v>
      </c>
      <c r="M9">
        <v>9068.397</v>
      </c>
      <c r="N9">
        <v>8749.407</v>
      </c>
      <c r="P9">
        <f t="shared" si="7"/>
        <v>1366.99215</v>
      </c>
      <c r="Q9">
        <f t="shared" si="8"/>
        <v>906.588702409312</v>
      </c>
      <c r="R9">
        <f t="shared" si="9"/>
        <v>707.885</v>
      </c>
      <c r="S9">
        <f t="shared" si="10"/>
        <v>460.049999999999</v>
      </c>
      <c r="T9">
        <f t="shared" si="11"/>
        <v>56.6669999999995</v>
      </c>
      <c r="U9">
        <f t="shared" si="12"/>
        <v>49.6000000000004</v>
      </c>
      <c r="V9">
        <f t="shared" si="13"/>
        <v>203.397000000001</v>
      </c>
      <c r="W9">
        <f t="shared" si="14"/>
        <v>115.593000000001</v>
      </c>
      <c r="X9">
        <f t="shared" si="1"/>
        <v>4608.875</v>
      </c>
      <c r="Y9">
        <f t="shared" si="15"/>
        <v>1868667.53816162</v>
      </c>
      <c r="Z9">
        <f t="shared" si="16"/>
        <v>821903.0753362</v>
      </c>
      <c r="AA9">
        <f t="shared" si="17"/>
        <v>501101.173225</v>
      </c>
      <c r="AB9">
        <f t="shared" si="18"/>
        <v>211646.002499999</v>
      </c>
      <c r="AC9">
        <f t="shared" si="19"/>
        <v>3211.14888899994</v>
      </c>
      <c r="AD9">
        <f t="shared" si="20"/>
        <v>2460.16000000004</v>
      </c>
      <c r="AE9">
        <f t="shared" si="21"/>
        <v>41370.3396090003</v>
      </c>
      <c r="AF9">
        <f t="shared" si="22"/>
        <v>13361.7416490002</v>
      </c>
      <c r="AG9">
        <f t="shared" si="3"/>
        <v>21241728.765625</v>
      </c>
      <c r="AI9">
        <f t="shared" si="23"/>
        <v>61634398.8193366</v>
      </c>
      <c r="AJ9">
        <f t="shared" si="24"/>
        <v>69075402.1145693</v>
      </c>
      <c r="AK9">
        <f t="shared" si="25"/>
        <v>72417802.318225</v>
      </c>
      <c r="AL9">
        <f t="shared" si="26"/>
        <v>76697309.29</v>
      </c>
      <c r="AM9">
        <f t="shared" si="27"/>
        <v>83925441.732889</v>
      </c>
      <c r="AN9">
        <f t="shared" si="28"/>
        <v>85883776.0225</v>
      </c>
      <c r="AO9">
        <f t="shared" si="29"/>
        <v>88758010.795609</v>
      </c>
      <c r="AP9">
        <f t="shared" si="30"/>
        <v>82849262.052649</v>
      </c>
    </row>
    <row r="10" spans="1:42">
      <c r="A10">
        <v>1</v>
      </c>
      <c r="B10">
        <v>18</v>
      </c>
      <c r="C10">
        <v>90</v>
      </c>
      <c r="D10">
        <v>15</v>
      </c>
      <c r="E10">
        <v>60</v>
      </c>
      <c r="F10">
        <v>9758</v>
      </c>
      <c r="G10">
        <f t="shared" si="5"/>
        <v>9117.35715</v>
      </c>
      <c r="H10">
        <f t="shared" si="6"/>
        <v>10301.4822866826</v>
      </c>
      <c r="I10">
        <v>9818.192</v>
      </c>
      <c r="J10">
        <v>9682.471</v>
      </c>
      <c r="K10">
        <v>9849.5</v>
      </c>
      <c r="L10">
        <v>9853.824</v>
      </c>
      <c r="M10">
        <v>9786.966</v>
      </c>
      <c r="N10">
        <v>9910.702</v>
      </c>
      <c r="P10">
        <f t="shared" si="7"/>
        <v>640.64285</v>
      </c>
      <c r="Q10">
        <f t="shared" si="8"/>
        <v>543.482286682591</v>
      </c>
      <c r="R10">
        <f t="shared" si="9"/>
        <v>60.1919999999991</v>
      </c>
      <c r="S10">
        <f t="shared" si="10"/>
        <v>75.5290000000005</v>
      </c>
      <c r="T10">
        <f t="shared" si="11"/>
        <v>91.5</v>
      </c>
      <c r="U10">
        <f t="shared" si="12"/>
        <v>95.8240000000005</v>
      </c>
      <c r="V10">
        <f t="shared" si="13"/>
        <v>28.9660000000003</v>
      </c>
      <c r="W10">
        <f t="shared" si="14"/>
        <v>152.701999999999</v>
      </c>
      <c r="X10">
        <f t="shared" si="1"/>
        <v>5501.875</v>
      </c>
      <c r="Y10">
        <f t="shared" si="15"/>
        <v>410423.261256123</v>
      </c>
      <c r="Z10">
        <f t="shared" si="16"/>
        <v>295372.995937738</v>
      </c>
      <c r="AA10">
        <f t="shared" si="17"/>
        <v>3623.07686399989</v>
      </c>
      <c r="AB10">
        <f t="shared" si="18"/>
        <v>5704.62984100007</v>
      </c>
      <c r="AC10">
        <f t="shared" si="19"/>
        <v>8372.25</v>
      </c>
      <c r="AD10">
        <f t="shared" si="20"/>
        <v>9182.2389760001</v>
      </c>
      <c r="AE10">
        <f t="shared" si="21"/>
        <v>839.02915600002</v>
      </c>
      <c r="AF10">
        <f t="shared" si="22"/>
        <v>23317.9008039998</v>
      </c>
      <c r="AG10">
        <f t="shared" si="3"/>
        <v>30270628.515625</v>
      </c>
      <c r="AI10">
        <f t="shared" si="23"/>
        <v>107393989.802381</v>
      </c>
      <c r="AJ10">
        <f t="shared" si="24"/>
        <v>133338573.482605</v>
      </c>
      <c r="AK10">
        <f t="shared" si="25"/>
        <v>122410812.579364</v>
      </c>
      <c r="AL10">
        <f t="shared" si="26"/>
        <v>119426014.224841</v>
      </c>
      <c r="AM10">
        <f t="shared" si="27"/>
        <v>123104572.5625</v>
      </c>
      <c r="AN10">
        <f t="shared" si="28"/>
        <v>123200542.981476</v>
      </c>
      <c r="AO10">
        <f t="shared" si="29"/>
        <v>121720822.336656</v>
      </c>
      <c r="AP10">
        <f t="shared" si="30"/>
        <v>124466421.228304</v>
      </c>
    </row>
    <row r="11" spans="1:42">
      <c r="A11">
        <v>1</v>
      </c>
      <c r="B11">
        <v>18</v>
      </c>
      <c r="C11">
        <v>10</v>
      </c>
      <c r="D11">
        <v>45</v>
      </c>
      <c r="E11">
        <v>60</v>
      </c>
      <c r="F11">
        <v>944</v>
      </c>
      <c r="G11">
        <f t="shared" si="5"/>
        <v>2968.09965</v>
      </c>
      <c r="H11">
        <f t="shared" si="6"/>
        <v>2300.89310419864</v>
      </c>
      <c r="I11">
        <v>1457.916</v>
      </c>
      <c r="J11">
        <v>1242.233</v>
      </c>
      <c r="K11">
        <v>1007.5</v>
      </c>
      <c r="L11">
        <v>1206.833</v>
      </c>
      <c r="M11">
        <v>935.723</v>
      </c>
      <c r="N11">
        <v>380.91</v>
      </c>
      <c r="P11">
        <f t="shared" si="7"/>
        <v>2024.09965</v>
      </c>
      <c r="Q11">
        <f t="shared" si="8"/>
        <v>1356.89310419864</v>
      </c>
      <c r="R11">
        <f t="shared" si="9"/>
        <v>513.916</v>
      </c>
      <c r="S11">
        <f t="shared" si="10"/>
        <v>298.233</v>
      </c>
      <c r="T11">
        <f t="shared" si="11"/>
        <v>63.5</v>
      </c>
      <c r="U11">
        <f t="shared" si="12"/>
        <v>262.833</v>
      </c>
      <c r="V11">
        <f t="shared" si="13"/>
        <v>8.27700000000004</v>
      </c>
      <c r="W11">
        <f t="shared" si="14"/>
        <v>563.09</v>
      </c>
      <c r="X11">
        <f t="shared" si="1"/>
        <v>3312.125</v>
      </c>
      <c r="Y11">
        <f t="shared" si="15"/>
        <v>4096979.39313012</v>
      </c>
      <c r="Z11">
        <f t="shared" si="16"/>
        <v>1841158.89622182</v>
      </c>
      <c r="AA11">
        <f t="shared" si="17"/>
        <v>264109.655056</v>
      </c>
      <c r="AB11">
        <f t="shared" si="18"/>
        <v>88942.922289</v>
      </c>
      <c r="AC11">
        <f t="shared" si="19"/>
        <v>4032.25</v>
      </c>
      <c r="AD11">
        <f t="shared" si="20"/>
        <v>69081.185889</v>
      </c>
      <c r="AE11">
        <f t="shared" si="21"/>
        <v>68.5087290000007</v>
      </c>
      <c r="AF11">
        <f t="shared" si="22"/>
        <v>317070.3481</v>
      </c>
      <c r="AG11">
        <f t="shared" si="3"/>
        <v>10970172.015625</v>
      </c>
      <c r="AI11">
        <f t="shared" si="23"/>
        <v>21161383.2426051</v>
      </c>
      <c r="AJ11">
        <f t="shared" si="24"/>
        <v>27745048.6677462</v>
      </c>
      <c r="AK11">
        <f t="shared" si="25"/>
        <v>37336181.591556</v>
      </c>
      <c r="AL11">
        <f t="shared" si="26"/>
        <v>40018491.084289</v>
      </c>
      <c r="AM11">
        <f t="shared" si="27"/>
        <v>43043440.5625</v>
      </c>
      <c r="AN11">
        <f t="shared" si="28"/>
        <v>40467626.247889</v>
      </c>
      <c r="AO11">
        <f t="shared" si="29"/>
        <v>43990414.405729</v>
      </c>
      <c r="AP11">
        <f t="shared" si="30"/>
        <v>51657856.2756</v>
      </c>
    </row>
    <row r="12" spans="1:42">
      <c r="A12">
        <v>1</v>
      </c>
      <c r="B12">
        <v>18</v>
      </c>
      <c r="C12">
        <v>25</v>
      </c>
      <c r="D12">
        <v>45</v>
      </c>
      <c r="E12">
        <v>60</v>
      </c>
      <c r="F12">
        <v>1175</v>
      </c>
      <c r="G12">
        <f t="shared" si="5"/>
        <v>3507.88275</v>
      </c>
      <c r="H12">
        <f t="shared" si="6"/>
        <v>3236.30421859054</v>
      </c>
      <c r="I12">
        <v>2219.308</v>
      </c>
      <c r="J12">
        <v>1550.135</v>
      </c>
      <c r="K12">
        <v>1007.5</v>
      </c>
      <c r="L12">
        <v>1206.833</v>
      </c>
      <c r="M12">
        <v>1332.426</v>
      </c>
      <c r="N12">
        <v>1599.495</v>
      </c>
      <c r="P12">
        <f t="shared" si="7"/>
        <v>2332.88275</v>
      </c>
      <c r="Q12">
        <f t="shared" si="8"/>
        <v>2061.30421859054</v>
      </c>
      <c r="R12">
        <f t="shared" si="9"/>
        <v>1044.308</v>
      </c>
      <c r="S12">
        <f t="shared" si="10"/>
        <v>375.135</v>
      </c>
      <c r="T12">
        <f t="shared" si="11"/>
        <v>167.5</v>
      </c>
      <c r="U12">
        <f t="shared" si="12"/>
        <v>31.8330000000001</v>
      </c>
      <c r="V12">
        <f t="shared" si="13"/>
        <v>157.426</v>
      </c>
      <c r="W12">
        <f t="shared" si="14"/>
        <v>424.495</v>
      </c>
      <c r="X12">
        <f t="shared" si="1"/>
        <v>3081.125</v>
      </c>
      <c r="Y12">
        <f t="shared" si="15"/>
        <v>5442341.92524756</v>
      </c>
      <c r="Z12">
        <f t="shared" si="16"/>
        <v>4248975.08157916</v>
      </c>
      <c r="AA12">
        <f t="shared" si="17"/>
        <v>1090579.198864</v>
      </c>
      <c r="AB12">
        <f t="shared" si="18"/>
        <v>140726.268225</v>
      </c>
      <c r="AC12">
        <f t="shared" si="19"/>
        <v>28056.25</v>
      </c>
      <c r="AD12">
        <f t="shared" si="20"/>
        <v>1013.33988900001</v>
      </c>
      <c r="AE12">
        <f t="shared" si="21"/>
        <v>24782.945476</v>
      </c>
      <c r="AF12">
        <f t="shared" si="22"/>
        <v>180196.005025</v>
      </c>
      <c r="AG12">
        <f t="shared" si="3"/>
        <v>9493331.265625</v>
      </c>
      <c r="AI12">
        <f t="shared" si="23"/>
        <v>14664053.5353726</v>
      </c>
      <c r="AJ12">
        <f t="shared" si="24"/>
        <v>16817756.30206</v>
      </c>
      <c r="AK12">
        <f t="shared" si="25"/>
        <v>26193330.315364</v>
      </c>
      <c r="AL12">
        <f t="shared" si="26"/>
        <v>33490700.023225</v>
      </c>
      <c r="AM12">
        <f t="shared" si="27"/>
        <v>40065735.0625</v>
      </c>
      <c r="AN12">
        <f t="shared" si="28"/>
        <v>37582012.593889</v>
      </c>
      <c r="AO12">
        <f t="shared" si="29"/>
        <v>36057911.270976</v>
      </c>
      <c r="AP12">
        <f t="shared" si="30"/>
        <v>32921832.440025</v>
      </c>
    </row>
    <row r="13" spans="1:42">
      <c r="A13">
        <v>1</v>
      </c>
      <c r="B13">
        <v>18</v>
      </c>
      <c r="C13">
        <v>60</v>
      </c>
      <c r="D13">
        <v>45</v>
      </c>
      <c r="E13">
        <v>60</v>
      </c>
      <c r="F13">
        <v>4767</v>
      </c>
      <c r="G13">
        <f t="shared" si="5"/>
        <v>4767.37665</v>
      </c>
      <c r="H13">
        <f t="shared" si="6"/>
        <v>4483.34153125726</v>
      </c>
      <c r="I13">
        <v>4439.768</v>
      </c>
      <c r="J13">
        <v>4881.984</v>
      </c>
      <c r="K13">
        <v>4348</v>
      </c>
      <c r="L13">
        <v>4498</v>
      </c>
      <c r="M13">
        <v>4760.77</v>
      </c>
      <c r="N13">
        <v>4584.76</v>
      </c>
      <c r="P13">
        <f t="shared" si="7"/>
        <v>0.376649999999245</v>
      </c>
      <c r="Q13">
        <f t="shared" si="8"/>
        <v>283.658468742737</v>
      </c>
      <c r="R13">
        <f t="shared" si="9"/>
        <v>327.232</v>
      </c>
      <c r="S13">
        <f t="shared" si="10"/>
        <v>114.984</v>
      </c>
      <c r="T13">
        <f t="shared" si="11"/>
        <v>419</v>
      </c>
      <c r="U13">
        <f t="shared" si="12"/>
        <v>269</v>
      </c>
      <c r="V13">
        <f t="shared" si="13"/>
        <v>6.22999999999956</v>
      </c>
      <c r="W13">
        <f t="shared" si="14"/>
        <v>182.24</v>
      </c>
      <c r="X13">
        <f t="shared" si="1"/>
        <v>510.875</v>
      </c>
      <c r="Y13">
        <f t="shared" si="15"/>
        <v>0.141865222499431</v>
      </c>
      <c r="Z13">
        <f t="shared" si="16"/>
        <v>80462.1268894741</v>
      </c>
      <c r="AA13">
        <f t="shared" si="17"/>
        <v>107080.781824</v>
      </c>
      <c r="AB13">
        <f t="shared" si="18"/>
        <v>13221.3202560001</v>
      </c>
      <c r="AC13">
        <f t="shared" si="19"/>
        <v>175561</v>
      </c>
      <c r="AD13">
        <f t="shared" si="20"/>
        <v>72361</v>
      </c>
      <c r="AE13">
        <f t="shared" si="21"/>
        <v>38.8128999999946</v>
      </c>
      <c r="AF13">
        <f t="shared" si="22"/>
        <v>33211.4175999999</v>
      </c>
      <c r="AG13">
        <f t="shared" si="3"/>
        <v>260993.265625</v>
      </c>
      <c r="AI13">
        <f t="shared" si="23"/>
        <v>1044742.88864022</v>
      </c>
      <c r="AJ13">
        <f t="shared" si="24"/>
        <v>544779.108513692</v>
      </c>
      <c r="AK13">
        <f t="shared" si="25"/>
        <v>482355.252324</v>
      </c>
      <c r="AL13">
        <f t="shared" si="26"/>
        <v>1292164.186756</v>
      </c>
      <c r="AM13">
        <f t="shared" si="27"/>
        <v>363307.5625</v>
      </c>
      <c r="AN13">
        <f t="shared" si="28"/>
        <v>566632.5625</v>
      </c>
      <c r="AO13">
        <f t="shared" si="29"/>
        <v>1031280.8704</v>
      </c>
      <c r="AP13">
        <f t="shared" si="30"/>
        <v>704777.0401</v>
      </c>
    </row>
    <row r="14" spans="1:42">
      <c r="A14">
        <v>1</v>
      </c>
      <c r="B14">
        <v>18</v>
      </c>
      <c r="C14">
        <v>90</v>
      </c>
      <c r="D14">
        <v>45</v>
      </c>
      <c r="E14">
        <v>60</v>
      </c>
      <c r="F14">
        <v>6311</v>
      </c>
      <c r="G14">
        <f t="shared" si="5"/>
        <v>5846.94285</v>
      </c>
      <c r="H14">
        <f t="shared" si="6"/>
        <v>5213.87391953717</v>
      </c>
      <c r="I14">
        <v>5903.659</v>
      </c>
      <c r="J14">
        <v>6357.364</v>
      </c>
      <c r="K14">
        <v>6379.8</v>
      </c>
      <c r="L14">
        <v>6456.8</v>
      </c>
      <c r="M14">
        <v>6225.816</v>
      </c>
      <c r="N14">
        <v>6189.157</v>
      </c>
      <c r="P14">
        <f t="shared" si="7"/>
        <v>464.05715</v>
      </c>
      <c r="Q14">
        <f t="shared" si="8"/>
        <v>1097.12608046283</v>
      </c>
      <c r="R14">
        <f t="shared" si="9"/>
        <v>407.341</v>
      </c>
      <c r="S14">
        <f t="shared" si="10"/>
        <v>46.3639999999996</v>
      </c>
      <c r="T14">
        <f t="shared" si="11"/>
        <v>68.8000000000002</v>
      </c>
      <c r="U14">
        <f t="shared" si="12"/>
        <v>145.8</v>
      </c>
      <c r="V14">
        <f t="shared" si="13"/>
        <v>85.1840000000002</v>
      </c>
      <c r="W14">
        <f t="shared" si="14"/>
        <v>121.843</v>
      </c>
      <c r="X14">
        <f t="shared" si="1"/>
        <v>2054.875</v>
      </c>
      <c r="Y14">
        <f t="shared" si="15"/>
        <v>215349.038466122</v>
      </c>
      <c r="Z14">
        <f t="shared" si="16"/>
        <v>1203685.63643173</v>
      </c>
      <c r="AA14">
        <f t="shared" si="17"/>
        <v>165926.690281</v>
      </c>
      <c r="AB14">
        <f t="shared" si="18"/>
        <v>2149.62049599996</v>
      </c>
      <c r="AC14">
        <f t="shared" si="19"/>
        <v>4733.44000000003</v>
      </c>
      <c r="AD14">
        <f t="shared" si="20"/>
        <v>21257.6400000001</v>
      </c>
      <c r="AE14">
        <f t="shared" si="21"/>
        <v>7256.31385600003</v>
      </c>
      <c r="AF14">
        <f t="shared" si="22"/>
        <v>14845.716649</v>
      </c>
      <c r="AG14">
        <f t="shared" si="3"/>
        <v>4222511.265625</v>
      </c>
      <c r="AI14">
        <f t="shared" si="23"/>
        <v>13291076.3565411</v>
      </c>
      <c r="AJ14">
        <f t="shared" si="24"/>
        <v>9075902.88056751</v>
      </c>
      <c r="AK14">
        <f t="shared" si="25"/>
        <v>13707832.403281</v>
      </c>
      <c r="AL14">
        <f t="shared" si="26"/>
        <v>17273283.580996</v>
      </c>
      <c r="AM14">
        <f t="shared" si="27"/>
        <v>17460280.1025</v>
      </c>
      <c r="AN14">
        <f t="shared" si="28"/>
        <v>18109705.8025</v>
      </c>
      <c r="AO14">
        <f t="shared" si="29"/>
        <v>16197131.488356</v>
      </c>
      <c r="AP14">
        <f t="shared" si="30"/>
        <v>15903402.240649</v>
      </c>
    </row>
    <row r="15" spans="1:42">
      <c r="A15">
        <v>1</v>
      </c>
      <c r="B15">
        <v>18</v>
      </c>
      <c r="C15">
        <v>5</v>
      </c>
      <c r="D15">
        <v>15</v>
      </c>
      <c r="E15">
        <v>120</v>
      </c>
      <c r="F15">
        <v>3621</v>
      </c>
      <c r="G15">
        <f t="shared" si="5"/>
        <v>6196.62105</v>
      </c>
      <c r="H15">
        <f t="shared" si="6"/>
        <v>3667.063723709</v>
      </c>
      <c r="I15">
        <v>5578.187</v>
      </c>
      <c r="J15">
        <v>4591.635</v>
      </c>
      <c r="K15">
        <v>4505</v>
      </c>
      <c r="L15">
        <v>5040.2</v>
      </c>
      <c r="M15">
        <v>4078.861</v>
      </c>
      <c r="N15">
        <v>4181.627</v>
      </c>
      <c r="P15">
        <f t="shared" si="7"/>
        <v>2575.62105</v>
      </c>
      <c r="Q15">
        <f t="shared" si="8"/>
        <v>46.0637237089982</v>
      </c>
      <c r="R15">
        <f t="shared" si="9"/>
        <v>1957.187</v>
      </c>
      <c r="S15">
        <f t="shared" si="10"/>
        <v>970.635</v>
      </c>
      <c r="T15">
        <f t="shared" si="11"/>
        <v>884</v>
      </c>
      <c r="U15">
        <f t="shared" si="12"/>
        <v>1419.2</v>
      </c>
      <c r="V15">
        <f t="shared" si="13"/>
        <v>457.861</v>
      </c>
      <c r="W15">
        <f t="shared" si="14"/>
        <v>560.627</v>
      </c>
      <c r="X15">
        <f t="shared" si="1"/>
        <v>635.125</v>
      </c>
      <c r="Y15">
        <f t="shared" si="15"/>
        <v>6633823.7932031</v>
      </c>
      <c r="Z15">
        <f t="shared" si="16"/>
        <v>2121.86664193892</v>
      </c>
      <c r="AA15">
        <f t="shared" si="17"/>
        <v>3830580.952969</v>
      </c>
      <c r="AB15">
        <f t="shared" si="18"/>
        <v>942132.303225</v>
      </c>
      <c r="AC15">
        <f t="shared" si="19"/>
        <v>781456</v>
      </c>
      <c r="AD15">
        <f t="shared" si="20"/>
        <v>2014128.64</v>
      </c>
      <c r="AE15">
        <f t="shared" si="21"/>
        <v>209636.695321</v>
      </c>
      <c r="AF15">
        <f t="shared" si="22"/>
        <v>314302.633129</v>
      </c>
      <c r="AG15">
        <f t="shared" si="3"/>
        <v>403383.765625</v>
      </c>
      <c r="AI15">
        <f t="shared" si="23"/>
        <v>6633823.7932031</v>
      </c>
      <c r="AJ15">
        <f t="shared" si="24"/>
        <v>1498632.03905923</v>
      </c>
      <c r="AK15">
        <f t="shared" si="25"/>
        <v>3830580.952969</v>
      </c>
      <c r="AL15">
        <f t="shared" si="26"/>
        <v>942132.303225</v>
      </c>
      <c r="AM15">
        <f t="shared" si="27"/>
        <v>781456</v>
      </c>
      <c r="AN15">
        <f t="shared" si="28"/>
        <v>2014128.64</v>
      </c>
      <c r="AO15">
        <f t="shared" si="29"/>
        <v>659975.887321</v>
      </c>
      <c r="AP15">
        <f t="shared" si="30"/>
        <v>503564.802128999</v>
      </c>
    </row>
    <row r="16" spans="1:42">
      <c r="A16">
        <v>1</v>
      </c>
      <c r="B16">
        <v>18</v>
      </c>
      <c r="C16">
        <v>50</v>
      </c>
      <c r="D16">
        <v>15</v>
      </c>
      <c r="E16">
        <v>120</v>
      </c>
      <c r="F16">
        <v>9184</v>
      </c>
      <c r="G16">
        <f t="shared" si="5"/>
        <v>7815.97035</v>
      </c>
      <c r="H16">
        <f t="shared" si="6"/>
        <v>8642.07505417799</v>
      </c>
      <c r="I16">
        <v>8500.85</v>
      </c>
      <c r="J16">
        <v>9286.392</v>
      </c>
      <c r="K16">
        <v>9902</v>
      </c>
      <c r="L16">
        <v>8914.6</v>
      </c>
      <c r="M16">
        <v>9790.853</v>
      </c>
      <c r="N16">
        <v>9417.042</v>
      </c>
      <c r="P16">
        <f t="shared" si="7"/>
        <v>1368.02965</v>
      </c>
      <c r="Q16">
        <f t="shared" si="8"/>
        <v>541.924945822007</v>
      </c>
      <c r="R16">
        <f t="shared" si="9"/>
        <v>683.15</v>
      </c>
      <c r="S16">
        <f t="shared" si="10"/>
        <v>102.392</v>
      </c>
      <c r="T16">
        <f t="shared" si="11"/>
        <v>718</v>
      </c>
      <c r="U16">
        <f t="shared" si="12"/>
        <v>269.4</v>
      </c>
      <c r="V16">
        <f t="shared" si="13"/>
        <v>606.852999999999</v>
      </c>
      <c r="W16">
        <f t="shared" si="14"/>
        <v>233.041999999999</v>
      </c>
      <c r="X16">
        <f t="shared" si="1"/>
        <v>4927.875</v>
      </c>
      <c r="Y16">
        <f t="shared" si="15"/>
        <v>1871505.12327913</v>
      </c>
      <c r="Z16">
        <f t="shared" si="16"/>
        <v>293682.646904186</v>
      </c>
      <c r="AA16">
        <f t="shared" si="17"/>
        <v>466693.9225</v>
      </c>
      <c r="AB16">
        <f t="shared" si="18"/>
        <v>10484.121664</v>
      </c>
      <c r="AC16">
        <f t="shared" si="19"/>
        <v>515524</v>
      </c>
      <c r="AD16">
        <f t="shared" si="20"/>
        <v>72576.3599999998</v>
      </c>
      <c r="AE16">
        <f t="shared" si="21"/>
        <v>368270.563608999</v>
      </c>
      <c r="AF16">
        <f t="shared" si="22"/>
        <v>54308.5737639997</v>
      </c>
      <c r="AG16">
        <f t="shared" si="3"/>
        <v>24283952.015625</v>
      </c>
      <c r="AI16">
        <f t="shared" si="23"/>
        <v>72041396.7398041</v>
      </c>
      <c r="AJ16">
        <f t="shared" si="24"/>
        <v>86747337.1398337</v>
      </c>
      <c r="AK16">
        <f t="shared" si="25"/>
        <v>84136590.76</v>
      </c>
      <c r="AL16">
        <f t="shared" si="26"/>
        <v>99164592.092164</v>
      </c>
      <c r="AM16">
        <f t="shared" si="27"/>
        <v>111804189.0625</v>
      </c>
      <c r="AN16">
        <f t="shared" si="28"/>
        <v>91898106.3225</v>
      </c>
      <c r="AO16">
        <f t="shared" si="29"/>
        <v>109466061.535609</v>
      </c>
      <c r="AP16">
        <f t="shared" si="30"/>
        <v>101783724.019264</v>
      </c>
    </row>
    <row r="17" spans="1:42">
      <c r="A17">
        <v>1</v>
      </c>
      <c r="B17">
        <v>18</v>
      </c>
      <c r="C17">
        <v>75</v>
      </c>
      <c r="D17">
        <v>15</v>
      </c>
      <c r="E17">
        <v>120</v>
      </c>
      <c r="F17">
        <v>9975</v>
      </c>
      <c r="G17">
        <f t="shared" si="5"/>
        <v>8715.60885</v>
      </c>
      <c r="H17">
        <f t="shared" si="6"/>
        <v>10050.2469913385</v>
      </c>
      <c r="I17">
        <v>9485.595</v>
      </c>
      <c r="J17">
        <v>9754.347</v>
      </c>
      <c r="K17">
        <v>9902</v>
      </c>
      <c r="L17">
        <v>9853.824</v>
      </c>
      <c r="M17">
        <v>9908.005</v>
      </c>
      <c r="N17">
        <v>10306.492</v>
      </c>
      <c r="P17">
        <f t="shared" si="7"/>
        <v>1259.39115</v>
      </c>
      <c r="Q17">
        <f t="shared" si="8"/>
        <v>75.2469913385376</v>
      </c>
      <c r="R17">
        <f t="shared" si="9"/>
        <v>489.405000000001</v>
      </c>
      <c r="S17">
        <f t="shared" si="10"/>
        <v>220.653</v>
      </c>
      <c r="T17">
        <f t="shared" si="11"/>
        <v>73</v>
      </c>
      <c r="U17">
        <f t="shared" si="12"/>
        <v>121.175999999999</v>
      </c>
      <c r="V17">
        <f t="shared" si="13"/>
        <v>66.9950000000008</v>
      </c>
      <c r="W17">
        <f t="shared" si="14"/>
        <v>331.492</v>
      </c>
      <c r="X17">
        <f t="shared" si="1"/>
        <v>5718.875</v>
      </c>
      <c r="Y17">
        <f t="shared" si="15"/>
        <v>1586066.06869832</v>
      </c>
      <c r="Z17">
        <f t="shared" si="16"/>
        <v>5662.10970550195</v>
      </c>
      <c r="AA17">
        <f t="shared" si="17"/>
        <v>239517.254025001</v>
      </c>
      <c r="AB17">
        <f t="shared" si="18"/>
        <v>48687.7464090001</v>
      </c>
      <c r="AC17">
        <f t="shared" si="19"/>
        <v>5329</v>
      </c>
      <c r="AD17">
        <f t="shared" si="20"/>
        <v>14683.6229759999</v>
      </c>
      <c r="AE17">
        <f t="shared" si="21"/>
        <v>4488.33002500011</v>
      </c>
      <c r="AF17">
        <f t="shared" si="22"/>
        <v>109886.946064</v>
      </c>
      <c r="AG17">
        <f t="shared" si="3"/>
        <v>32705531.265625</v>
      </c>
      <c r="AI17">
        <f t="shared" si="23"/>
        <v>103598988.879373</v>
      </c>
      <c r="AJ17">
        <f t="shared" si="24"/>
        <v>132549099.72257</v>
      </c>
      <c r="AK17">
        <f t="shared" si="25"/>
        <v>119866258.239025</v>
      </c>
      <c r="AL17">
        <f t="shared" si="26"/>
        <v>125823265.107409</v>
      </c>
      <c r="AM17">
        <f t="shared" si="27"/>
        <v>129157542.5625</v>
      </c>
      <c r="AN17">
        <f t="shared" si="28"/>
        <v>128064847.097476</v>
      </c>
      <c r="AO17">
        <f t="shared" si="29"/>
        <v>129294069.270025</v>
      </c>
      <c r="AP17">
        <f t="shared" si="30"/>
        <v>138515057.254564</v>
      </c>
    </row>
    <row r="18" spans="1:42">
      <c r="A18">
        <v>1</v>
      </c>
      <c r="B18">
        <v>18</v>
      </c>
      <c r="C18">
        <v>100</v>
      </c>
      <c r="D18">
        <v>15</v>
      </c>
      <c r="E18">
        <v>120</v>
      </c>
      <c r="F18">
        <v>10147</v>
      </c>
      <c r="G18">
        <f t="shared" si="5"/>
        <v>9615.24735</v>
      </c>
      <c r="H18">
        <f t="shared" si="6"/>
        <v>11186.426506726</v>
      </c>
      <c r="I18">
        <v>10340.006</v>
      </c>
      <c r="J18">
        <v>10066.605</v>
      </c>
      <c r="K18">
        <v>10150.667</v>
      </c>
      <c r="L18">
        <v>9853.824</v>
      </c>
      <c r="M18">
        <v>10171.906</v>
      </c>
      <c r="N18">
        <v>10122.364</v>
      </c>
      <c r="P18">
        <f t="shared" si="7"/>
        <v>531.752649999999</v>
      </c>
      <c r="Q18">
        <f t="shared" si="8"/>
        <v>1039.42650672599</v>
      </c>
      <c r="R18">
        <f t="shared" si="9"/>
        <v>193.005999999999</v>
      </c>
      <c r="S18">
        <f t="shared" si="10"/>
        <v>80.3950000000004</v>
      </c>
      <c r="T18">
        <f t="shared" si="11"/>
        <v>3.66699999999946</v>
      </c>
      <c r="U18">
        <f t="shared" si="12"/>
        <v>293.175999999999</v>
      </c>
      <c r="V18">
        <f t="shared" si="13"/>
        <v>24.9060000000009</v>
      </c>
      <c r="W18">
        <f t="shared" si="14"/>
        <v>24.6360000000004</v>
      </c>
      <c r="X18">
        <f t="shared" si="1"/>
        <v>5890.875</v>
      </c>
      <c r="Y18">
        <f t="shared" si="15"/>
        <v>282760.880782021</v>
      </c>
      <c r="Z18">
        <f t="shared" si="16"/>
        <v>1080407.4628846</v>
      </c>
      <c r="AA18">
        <f t="shared" si="17"/>
        <v>37251.3160359998</v>
      </c>
      <c r="AB18">
        <f t="shared" si="18"/>
        <v>6463.35602500007</v>
      </c>
      <c r="AC18">
        <f t="shared" si="19"/>
        <v>13.4468889999961</v>
      </c>
      <c r="AD18">
        <f t="shared" si="20"/>
        <v>85952.1669759997</v>
      </c>
      <c r="AE18">
        <f t="shared" si="21"/>
        <v>620.308836000043</v>
      </c>
      <c r="AF18">
        <f t="shared" si="22"/>
        <v>606.932496000021</v>
      </c>
      <c r="AG18">
        <f t="shared" si="3"/>
        <v>34702408.265625</v>
      </c>
      <c r="AI18">
        <f t="shared" si="23"/>
        <v>126562440.375007</v>
      </c>
      <c r="AJ18">
        <f t="shared" si="24"/>
        <v>164382567.016623</v>
      </c>
      <c r="AK18">
        <f t="shared" si="25"/>
        <v>143394781.259536</v>
      </c>
      <c r="AL18">
        <f t="shared" si="26"/>
        <v>136921708.836025</v>
      </c>
      <c r="AM18">
        <f t="shared" si="27"/>
        <v>138896053.863889</v>
      </c>
      <c r="AN18">
        <f t="shared" si="28"/>
        <v>131987332.553476</v>
      </c>
      <c r="AO18">
        <f t="shared" si="29"/>
        <v>139397125.902336</v>
      </c>
      <c r="AP18">
        <f t="shared" si="30"/>
        <v>138229729.608996</v>
      </c>
    </row>
    <row r="19" spans="1:42">
      <c r="A19">
        <v>1</v>
      </c>
      <c r="B19">
        <v>18</v>
      </c>
      <c r="C19">
        <v>20</v>
      </c>
      <c r="D19">
        <v>45</v>
      </c>
      <c r="E19">
        <v>120</v>
      </c>
      <c r="F19">
        <v>1356</v>
      </c>
      <c r="G19">
        <f t="shared" si="5"/>
        <v>3465.98985</v>
      </c>
      <c r="H19">
        <f t="shared" si="6"/>
        <v>3109.7533315378</v>
      </c>
      <c r="I19">
        <v>2217.677</v>
      </c>
      <c r="J19">
        <v>1480.584</v>
      </c>
      <c r="K19">
        <v>1475</v>
      </c>
      <c r="L19">
        <v>1206.833</v>
      </c>
      <c r="M19">
        <v>1335.567</v>
      </c>
      <c r="N19">
        <v>1691.892</v>
      </c>
      <c r="P19">
        <f t="shared" si="7"/>
        <v>2109.98985</v>
      </c>
      <c r="Q19">
        <f t="shared" si="8"/>
        <v>1753.7533315378</v>
      </c>
      <c r="R19">
        <f t="shared" si="9"/>
        <v>861.677</v>
      </c>
      <c r="S19">
        <f t="shared" si="10"/>
        <v>124.584</v>
      </c>
      <c r="T19">
        <f t="shared" si="11"/>
        <v>119</v>
      </c>
      <c r="U19">
        <f t="shared" si="12"/>
        <v>149.167</v>
      </c>
      <c r="V19">
        <f t="shared" si="13"/>
        <v>20.433</v>
      </c>
      <c r="W19">
        <f t="shared" si="14"/>
        <v>335.892</v>
      </c>
      <c r="X19">
        <f t="shared" si="1"/>
        <v>2900.125</v>
      </c>
      <c r="Y19">
        <f t="shared" si="15"/>
        <v>4452057.16710302</v>
      </c>
      <c r="Z19">
        <f t="shared" si="16"/>
        <v>3075650.74787993</v>
      </c>
      <c r="AA19">
        <f t="shared" si="17"/>
        <v>742487.252329</v>
      </c>
      <c r="AB19">
        <f t="shared" si="18"/>
        <v>15521.173056</v>
      </c>
      <c r="AC19">
        <f t="shared" si="19"/>
        <v>14161</v>
      </c>
      <c r="AD19">
        <f t="shared" si="20"/>
        <v>22250.793889</v>
      </c>
      <c r="AE19">
        <f t="shared" si="21"/>
        <v>417.507489</v>
      </c>
      <c r="AF19">
        <f t="shared" si="22"/>
        <v>112823.435664</v>
      </c>
      <c r="AG19">
        <f t="shared" si="3"/>
        <v>8410725.015625</v>
      </c>
      <c r="AI19">
        <f t="shared" si="23"/>
        <v>13618019.974678</v>
      </c>
      <c r="AJ19">
        <f t="shared" si="24"/>
        <v>16374135.2878757</v>
      </c>
      <c r="AK19">
        <f t="shared" si="25"/>
        <v>24389503.276329</v>
      </c>
      <c r="AL19">
        <f t="shared" si="26"/>
        <v>32213184.543556</v>
      </c>
      <c r="AM19">
        <f t="shared" si="27"/>
        <v>32276601.5625</v>
      </c>
      <c r="AN19">
        <f t="shared" si="28"/>
        <v>35395562.639889</v>
      </c>
      <c r="AO19">
        <f t="shared" si="29"/>
        <v>33880350.586489</v>
      </c>
      <c r="AP19">
        <f t="shared" si="30"/>
        <v>29859208.352164</v>
      </c>
    </row>
    <row r="20" spans="1:42">
      <c r="A20">
        <v>1</v>
      </c>
      <c r="B20">
        <v>18</v>
      </c>
      <c r="C20">
        <v>60</v>
      </c>
      <c r="D20">
        <v>45</v>
      </c>
      <c r="E20">
        <v>120</v>
      </c>
      <c r="F20">
        <v>4876</v>
      </c>
      <c r="G20">
        <f t="shared" si="5"/>
        <v>4905.41145</v>
      </c>
      <c r="H20">
        <f t="shared" si="6"/>
        <v>4681.20847897189</v>
      </c>
      <c r="I20">
        <v>4678.681</v>
      </c>
      <c r="J20">
        <v>5131.119</v>
      </c>
      <c r="K20">
        <v>4648</v>
      </c>
      <c r="L20">
        <v>4498</v>
      </c>
      <c r="M20">
        <v>5058.15</v>
      </c>
      <c r="N20">
        <v>4745.788</v>
      </c>
      <c r="P20">
        <f t="shared" si="7"/>
        <v>29.4114499999987</v>
      </c>
      <c r="Q20">
        <f t="shared" si="8"/>
        <v>194.791521028106</v>
      </c>
      <c r="R20">
        <f t="shared" si="9"/>
        <v>197.319</v>
      </c>
      <c r="S20">
        <f t="shared" si="10"/>
        <v>255.119</v>
      </c>
      <c r="T20">
        <f t="shared" si="11"/>
        <v>228</v>
      </c>
      <c r="U20">
        <f t="shared" si="12"/>
        <v>378</v>
      </c>
      <c r="V20">
        <f t="shared" si="13"/>
        <v>182.15</v>
      </c>
      <c r="W20">
        <f t="shared" si="14"/>
        <v>130.212</v>
      </c>
      <c r="X20">
        <f t="shared" si="1"/>
        <v>619.875</v>
      </c>
      <c r="Y20">
        <f t="shared" si="15"/>
        <v>865.033391102423</v>
      </c>
      <c r="Z20">
        <f t="shared" si="16"/>
        <v>37943.7366644431</v>
      </c>
      <c r="AA20">
        <f t="shared" si="17"/>
        <v>38934.7877610002</v>
      </c>
      <c r="AB20">
        <f t="shared" si="18"/>
        <v>65085.7041609998</v>
      </c>
      <c r="AC20">
        <f t="shared" si="19"/>
        <v>51984</v>
      </c>
      <c r="AD20">
        <f t="shared" si="20"/>
        <v>142884</v>
      </c>
      <c r="AE20">
        <f t="shared" si="21"/>
        <v>33178.6224999999</v>
      </c>
      <c r="AF20">
        <f t="shared" si="22"/>
        <v>16955.1649440001</v>
      </c>
      <c r="AG20">
        <f t="shared" si="3"/>
        <v>384245.015625</v>
      </c>
      <c r="AI20">
        <f t="shared" si="23"/>
        <v>1610770.7861661</v>
      </c>
      <c r="AJ20">
        <f t="shared" si="24"/>
        <v>1091938.22277525</v>
      </c>
      <c r="AK20">
        <f t="shared" si="25"/>
        <v>1086662.389761</v>
      </c>
      <c r="AL20">
        <f t="shared" si="26"/>
        <v>2234633.327161</v>
      </c>
      <c r="AM20">
        <f t="shared" si="27"/>
        <v>1023638.0625</v>
      </c>
      <c r="AN20">
        <f t="shared" si="28"/>
        <v>742613.0625</v>
      </c>
      <c r="AO20">
        <f t="shared" si="29"/>
        <v>2021799.61</v>
      </c>
      <c r="AP20">
        <f t="shared" si="30"/>
        <v>1231074.573444</v>
      </c>
    </row>
    <row r="21" spans="1:42">
      <c r="A21">
        <v>1</v>
      </c>
      <c r="B21">
        <v>18</v>
      </c>
      <c r="C21">
        <v>70</v>
      </c>
      <c r="D21">
        <v>45</v>
      </c>
      <c r="E21">
        <v>120</v>
      </c>
      <c r="F21">
        <v>5610</v>
      </c>
      <c r="G21">
        <f t="shared" si="5"/>
        <v>5265.26685</v>
      </c>
      <c r="H21">
        <f t="shared" si="6"/>
        <v>4957.72284490318</v>
      </c>
      <c r="I21">
        <v>5166.645</v>
      </c>
      <c r="J21">
        <v>5832.738</v>
      </c>
      <c r="K21">
        <v>5621</v>
      </c>
      <c r="L21">
        <v>5417.333</v>
      </c>
      <c r="M21">
        <v>5555.89</v>
      </c>
      <c r="N21">
        <v>5434.95</v>
      </c>
      <c r="P21">
        <f t="shared" si="7"/>
        <v>344.733150000001</v>
      </c>
      <c r="Q21">
        <f t="shared" si="8"/>
        <v>652.277155096823</v>
      </c>
      <c r="R21">
        <f t="shared" si="9"/>
        <v>443.355</v>
      </c>
      <c r="S21">
        <f t="shared" si="10"/>
        <v>222.738</v>
      </c>
      <c r="T21">
        <f t="shared" si="11"/>
        <v>11</v>
      </c>
      <c r="U21">
        <f t="shared" si="12"/>
        <v>192.667</v>
      </c>
      <c r="V21">
        <f t="shared" si="13"/>
        <v>54.1099999999997</v>
      </c>
      <c r="W21">
        <f t="shared" si="14"/>
        <v>175.05</v>
      </c>
      <c r="X21">
        <f t="shared" si="1"/>
        <v>1353.875</v>
      </c>
      <c r="Y21">
        <f t="shared" si="15"/>
        <v>118840.944708923</v>
      </c>
      <c r="Z21">
        <f t="shared" si="16"/>
        <v>425465.487061205</v>
      </c>
      <c r="AA21">
        <f t="shared" si="17"/>
        <v>196563.656025</v>
      </c>
      <c r="AB21">
        <f t="shared" si="18"/>
        <v>49612.2166440001</v>
      </c>
      <c r="AC21">
        <f t="shared" si="19"/>
        <v>121</v>
      </c>
      <c r="AD21">
        <f t="shared" si="20"/>
        <v>37120.5728890001</v>
      </c>
      <c r="AE21">
        <f t="shared" si="21"/>
        <v>2927.89209999996</v>
      </c>
      <c r="AF21">
        <f t="shared" si="22"/>
        <v>30642.5025000001</v>
      </c>
      <c r="AG21">
        <f t="shared" si="3"/>
        <v>1832977.515625</v>
      </c>
      <c r="AI21">
        <f t="shared" si="23"/>
        <v>5583848.63338392</v>
      </c>
      <c r="AJ21">
        <f t="shared" si="24"/>
        <v>4224968.61613436</v>
      </c>
      <c r="AK21">
        <f t="shared" si="25"/>
        <v>5127484.716025</v>
      </c>
      <c r="AL21">
        <f t="shared" si="26"/>
        <v>8587759.918144</v>
      </c>
      <c r="AM21">
        <f t="shared" si="27"/>
        <v>7391601.5625</v>
      </c>
      <c r="AN21">
        <f t="shared" si="28"/>
        <v>6325642.496889</v>
      </c>
      <c r="AO21">
        <f t="shared" si="29"/>
        <v>7041805.2496</v>
      </c>
      <c r="AP21">
        <f t="shared" si="30"/>
        <v>6414569.29</v>
      </c>
    </row>
    <row r="22" spans="1:42">
      <c r="A22">
        <v>1</v>
      </c>
      <c r="B22">
        <v>18</v>
      </c>
      <c r="C22">
        <v>105</v>
      </c>
      <c r="D22">
        <v>45</v>
      </c>
      <c r="E22">
        <v>120</v>
      </c>
      <c r="F22">
        <v>6734</v>
      </c>
      <c r="G22">
        <f t="shared" si="5"/>
        <v>6524.76075</v>
      </c>
      <c r="H22">
        <f t="shared" si="6"/>
        <v>5765.55269348072</v>
      </c>
      <c r="I22">
        <v>6874.518</v>
      </c>
      <c r="J22">
        <v>6750.165</v>
      </c>
      <c r="K22">
        <v>6675.5</v>
      </c>
      <c r="L22">
        <v>6456.8</v>
      </c>
      <c r="M22">
        <v>6779.913</v>
      </c>
      <c r="N22">
        <v>6820.012</v>
      </c>
      <c r="P22">
        <f t="shared" si="7"/>
        <v>209.239250000001</v>
      </c>
      <c r="Q22">
        <f t="shared" si="8"/>
        <v>968.447306519275</v>
      </c>
      <c r="R22">
        <f t="shared" si="9"/>
        <v>140.518</v>
      </c>
      <c r="S22">
        <f t="shared" si="10"/>
        <v>16.165</v>
      </c>
      <c r="T22">
        <f t="shared" si="11"/>
        <v>58.5</v>
      </c>
      <c r="U22">
        <f t="shared" si="12"/>
        <v>277.2</v>
      </c>
      <c r="V22">
        <f t="shared" si="13"/>
        <v>45.9129999999996</v>
      </c>
      <c r="W22">
        <f t="shared" si="14"/>
        <v>86.0119999999997</v>
      </c>
      <c r="X22">
        <f t="shared" si="1"/>
        <v>2477.875</v>
      </c>
      <c r="Y22">
        <f t="shared" si="15"/>
        <v>43781.0637405631</v>
      </c>
      <c r="Z22">
        <f t="shared" si="16"/>
        <v>937890.185504439</v>
      </c>
      <c r="AA22">
        <f t="shared" si="17"/>
        <v>19745.308324</v>
      </c>
      <c r="AB22">
        <f t="shared" si="18"/>
        <v>261.307224999999</v>
      </c>
      <c r="AC22">
        <f t="shared" si="19"/>
        <v>3422.25</v>
      </c>
      <c r="AD22">
        <f t="shared" si="20"/>
        <v>76839.8399999999</v>
      </c>
      <c r="AE22">
        <f t="shared" si="21"/>
        <v>2108.00356899996</v>
      </c>
      <c r="AF22">
        <f t="shared" si="22"/>
        <v>7398.06414399995</v>
      </c>
      <c r="AG22">
        <f t="shared" si="3"/>
        <v>6139864.515625</v>
      </c>
      <c r="AI22">
        <f t="shared" si="23"/>
        <v>22529364.2998655</v>
      </c>
      <c r="AJ22">
        <f t="shared" si="24"/>
        <v>15898582.7694386</v>
      </c>
      <c r="AK22">
        <f t="shared" si="25"/>
        <v>25971947.527824</v>
      </c>
      <c r="AL22">
        <f t="shared" si="26"/>
        <v>24719938.767225</v>
      </c>
      <c r="AM22">
        <f t="shared" si="27"/>
        <v>23983057.5625</v>
      </c>
      <c r="AN22">
        <f t="shared" si="28"/>
        <v>21888830.1025</v>
      </c>
      <c r="AO22">
        <f t="shared" si="29"/>
        <v>25016632.765569</v>
      </c>
      <c r="AP22">
        <f t="shared" si="30"/>
        <v>25419364.064644</v>
      </c>
    </row>
    <row r="23" spans="1:42">
      <c r="A23">
        <v>2</v>
      </c>
      <c r="B23">
        <v>9</v>
      </c>
      <c r="C23">
        <v>15</v>
      </c>
      <c r="D23">
        <v>15</v>
      </c>
      <c r="E23">
        <v>60</v>
      </c>
      <c r="F23">
        <v>2110</v>
      </c>
      <c r="G23">
        <f t="shared" si="5"/>
        <v>1431.0262</v>
      </c>
      <c r="H23">
        <f t="shared" si="6"/>
        <v>1229.72300680954</v>
      </c>
      <c r="I23">
        <v>1946.354</v>
      </c>
      <c r="J23">
        <v>2220.681</v>
      </c>
      <c r="K23">
        <v>2150.556</v>
      </c>
      <c r="L23">
        <v>2141.5</v>
      </c>
      <c r="M23">
        <v>2102.651</v>
      </c>
      <c r="N23">
        <v>2077.801</v>
      </c>
      <c r="P23">
        <f t="shared" si="7"/>
        <v>678.9738</v>
      </c>
      <c r="Q23">
        <f t="shared" si="8"/>
        <v>880.276993190459</v>
      </c>
      <c r="R23">
        <f t="shared" si="9"/>
        <v>163.646</v>
      </c>
      <c r="S23">
        <f t="shared" si="10"/>
        <v>110.681</v>
      </c>
      <c r="T23">
        <f t="shared" si="11"/>
        <v>40.556</v>
      </c>
      <c r="U23">
        <f t="shared" si="12"/>
        <v>31.5</v>
      </c>
      <c r="V23">
        <f t="shared" si="13"/>
        <v>7.34900000000016</v>
      </c>
      <c r="W23">
        <f t="shared" si="14"/>
        <v>32.1990000000001</v>
      </c>
      <c r="X23">
        <f t="shared" si="1"/>
        <v>2146.125</v>
      </c>
      <c r="Y23">
        <f t="shared" si="15"/>
        <v>461005.42108644</v>
      </c>
      <c r="Z23">
        <f t="shared" si="16"/>
        <v>774887.584740435</v>
      </c>
      <c r="AA23">
        <f t="shared" si="17"/>
        <v>26780.013316</v>
      </c>
      <c r="AB23">
        <f t="shared" si="18"/>
        <v>12250.283761</v>
      </c>
      <c r="AC23">
        <f t="shared" si="19"/>
        <v>1644.789136</v>
      </c>
      <c r="AD23">
        <f t="shared" si="20"/>
        <v>992.25</v>
      </c>
      <c r="AE23">
        <f t="shared" si="21"/>
        <v>54.0078010000024</v>
      </c>
      <c r="AF23">
        <f t="shared" si="22"/>
        <v>1036.775601</v>
      </c>
      <c r="AG23">
        <f t="shared" si="3"/>
        <v>4605852.515625</v>
      </c>
      <c r="AI23">
        <f t="shared" si="23"/>
        <v>24713066.0696864</v>
      </c>
      <c r="AJ23">
        <f t="shared" si="24"/>
        <v>26755035.4952839</v>
      </c>
      <c r="AK23">
        <f t="shared" si="25"/>
        <v>19855009.162816</v>
      </c>
      <c r="AL23">
        <f t="shared" si="26"/>
        <v>17485519.301761</v>
      </c>
      <c r="AM23">
        <f t="shared" si="27"/>
        <v>18076901.869636</v>
      </c>
      <c r="AN23">
        <f t="shared" si="28"/>
        <v>18153990.5625</v>
      </c>
      <c r="AO23">
        <f t="shared" si="29"/>
        <v>18486551.560801</v>
      </c>
      <c r="AP23">
        <f t="shared" si="30"/>
        <v>18700859.153601</v>
      </c>
    </row>
    <row r="24" spans="1:42">
      <c r="A24">
        <v>2</v>
      </c>
      <c r="B24">
        <v>9</v>
      </c>
      <c r="C24">
        <v>60</v>
      </c>
      <c r="D24">
        <v>15</v>
      </c>
      <c r="E24">
        <v>60</v>
      </c>
      <c r="F24">
        <v>2208</v>
      </c>
      <c r="G24">
        <f t="shared" si="5"/>
        <v>3050.3755</v>
      </c>
      <c r="H24">
        <f t="shared" si="6"/>
        <v>2060.4115621828</v>
      </c>
      <c r="I24">
        <v>2474.69</v>
      </c>
      <c r="J24">
        <v>2203.811</v>
      </c>
      <c r="K24">
        <v>2150.556</v>
      </c>
      <c r="L24">
        <v>2366</v>
      </c>
      <c r="M24">
        <v>2203.819</v>
      </c>
      <c r="N24">
        <v>2221.214</v>
      </c>
      <c r="P24">
        <f t="shared" si="7"/>
        <v>842.3755</v>
      </c>
      <c r="Q24">
        <f t="shared" si="8"/>
        <v>147.588437817199</v>
      </c>
      <c r="R24">
        <f t="shared" si="9"/>
        <v>266.69</v>
      </c>
      <c r="S24">
        <f t="shared" si="10"/>
        <v>4.18899999999985</v>
      </c>
      <c r="T24">
        <f t="shared" si="11"/>
        <v>57.444</v>
      </c>
      <c r="U24">
        <f t="shared" si="12"/>
        <v>158</v>
      </c>
      <c r="V24">
        <f t="shared" si="13"/>
        <v>4.18100000000004</v>
      </c>
      <c r="W24">
        <f t="shared" si="14"/>
        <v>13.2139999999999</v>
      </c>
      <c r="X24">
        <f t="shared" si="1"/>
        <v>2048.125</v>
      </c>
      <c r="Y24">
        <f t="shared" si="15"/>
        <v>709596.483000249</v>
      </c>
      <c r="Z24">
        <f t="shared" si="16"/>
        <v>21782.3469773211</v>
      </c>
      <c r="AA24">
        <f t="shared" si="17"/>
        <v>71123.5561</v>
      </c>
      <c r="AB24">
        <f t="shared" si="18"/>
        <v>17.5477209999987</v>
      </c>
      <c r="AC24">
        <f t="shared" si="19"/>
        <v>3299.813136</v>
      </c>
      <c r="AD24">
        <f t="shared" si="20"/>
        <v>24964</v>
      </c>
      <c r="AE24">
        <f t="shared" si="21"/>
        <v>17.4807610000003</v>
      </c>
      <c r="AF24">
        <f t="shared" si="22"/>
        <v>174.609795999998</v>
      </c>
      <c r="AG24">
        <f t="shared" si="3"/>
        <v>4194816.015625</v>
      </c>
      <c r="AI24">
        <f t="shared" si="23"/>
        <v>10587699.2617503</v>
      </c>
      <c r="AJ24">
        <f t="shared" si="24"/>
        <v>18010164.6862947</v>
      </c>
      <c r="AK24">
        <f t="shared" si="25"/>
        <v>14665529.7936</v>
      </c>
      <c r="AL24">
        <f t="shared" si="26"/>
        <v>16813599.992721</v>
      </c>
      <c r="AM24">
        <f t="shared" si="27"/>
        <v>17253173.845636</v>
      </c>
      <c r="AN24">
        <f t="shared" si="28"/>
        <v>15509813.0625</v>
      </c>
      <c r="AO24">
        <f t="shared" si="29"/>
        <v>16813534.385761</v>
      </c>
      <c r="AP24">
        <f t="shared" si="30"/>
        <v>16671182.977296</v>
      </c>
    </row>
    <row r="25" spans="1:42">
      <c r="A25">
        <v>2</v>
      </c>
      <c r="B25">
        <v>9</v>
      </c>
      <c r="C25">
        <v>95</v>
      </c>
      <c r="D25">
        <v>15</v>
      </c>
      <c r="E25">
        <v>60</v>
      </c>
      <c r="F25">
        <v>2390</v>
      </c>
      <c r="G25">
        <f t="shared" si="5"/>
        <v>4309.8694</v>
      </c>
      <c r="H25">
        <f t="shared" si="6"/>
        <v>2444.86386412245</v>
      </c>
      <c r="I25">
        <v>2885.618</v>
      </c>
      <c r="J25">
        <v>2323.622</v>
      </c>
      <c r="K25">
        <v>2389.833</v>
      </c>
      <c r="L25">
        <v>2366</v>
      </c>
      <c r="M25">
        <v>2383.52</v>
      </c>
      <c r="N25">
        <v>2371.272</v>
      </c>
      <c r="P25">
        <f t="shared" si="7"/>
        <v>1919.8694</v>
      </c>
      <c r="Q25">
        <f t="shared" si="8"/>
        <v>54.8638641224516</v>
      </c>
      <c r="R25">
        <f t="shared" si="9"/>
        <v>495.618</v>
      </c>
      <c r="S25">
        <f t="shared" si="10"/>
        <v>66.3780000000002</v>
      </c>
      <c r="T25">
        <f t="shared" si="11"/>
        <v>0.166999999999916</v>
      </c>
      <c r="U25">
        <f t="shared" si="12"/>
        <v>24</v>
      </c>
      <c r="V25">
        <f t="shared" si="13"/>
        <v>6.48000000000002</v>
      </c>
      <c r="W25">
        <f t="shared" si="14"/>
        <v>18.7280000000001</v>
      </c>
      <c r="X25">
        <f t="shared" si="1"/>
        <v>1866.125</v>
      </c>
      <c r="Y25">
        <f t="shared" si="15"/>
        <v>3685898.51305636</v>
      </c>
      <c r="Z25">
        <f t="shared" si="16"/>
        <v>3010.04358644683</v>
      </c>
      <c r="AA25">
        <f t="shared" si="17"/>
        <v>245637.201924</v>
      </c>
      <c r="AB25">
        <f t="shared" si="18"/>
        <v>4406.03888400002</v>
      </c>
      <c r="AC25">
        <f t="shared" si="19"/>
        <v>0.0278889999999721</v>
      </c>
      <c r="AD25">
        <f t="shared" si="20"/>
        <v>576</v>
      </c>
      <c r="AE25">
        <f t="shared" si="21"/>
        <v>41.9904000000002</v>
      </c>
      <c r="AF25">
        <f t="shared" si="22"/>
        <v>350.737984000002</v>
      </c>
      <c r="AG25">
        <f t="shared" si="3"/>
        <v>3482422.515625</v>
      </c>
      <c r="AI25">
        <f t="shared" si="23"/>
        <v>3685898.51305636</v>
      </c>
      <c r="AJ25">
        <f t="shared" si="24"/>
        <v>13523168.7923444</v>
      </c>
      <c r="AK25">
        <f t="shared" si="25"/>
        <v>10475786.703424</v>
      </c>
      <c r="AL25">
        <f t="shared" si="26"/>
        <v>14429574.682384</v>
      </c>
      <c r="AM25">
        <f t="shared" si="27"/>
        <v>13930936.661889</v>
      </c>
      <c r="AN25">
        <f t="shared" si="28"/>
        <v>14109414.0625</v>
      </c>
      <c r="AO25">
        <f t="shared" si="29"/>
        <v>13978102.0129</v>
      </c>
      <c r="AP25">
        <f t="shared" si="30"/>
        <v>14069835.956484</v>
      </c>
    </row>
    <row r="26" spans="1:42">
      <c r="A26">
        <v>2</v>
      </c>
      <c r="B26">
        <v>9</v>
      </c>
      <c r="C26">
        <v>15</v>
      </c>
      <c r="D26">
        <v>45</v>
      </c>
      <c r="E26">
        <v>60</v>
      </c>
      <c r="F26">
        <v>490</v>
      </c>
      <c r="G26">
        <f t="shared" si="5"/>
        <v>-1839.3881</v>
      </c>
      <c r="H26">
        <f t="shared" si="6"/>
        <v>622.397877803258</v>
      </c>
      <c r="I26">
        <v>-130.933</v>
      </c>
      <c r="J26">
        <v>631.05</v>
      </c>
      <c r="K26">
        <v>576.333</v>
      </c>
      <c r="L26">
        <v>540.333</v>
      </c>
      <c r="M26">
        <v>461.406</v>
      </c>
      <c r="N26">
        <v>497.585</v>
      </c>
      <c r="P26">
        <f t="shared" si="7"/>
        <v>2329.3881</v>
      </c>
      <c r="Q26">
        <f t="shared" si="8"/>
        <v>132.397877803258</v>
      </c>
      <c r="R26">
        <f t="shared" si="9"/>
        <v>620.933</v>
      </c>
      <c r="S26">
        <f t="shared" si="10"/>
        <v>141.05</v>
      </c>
      <c r="T26">
        <f t="shared" si="11"/>
        <v>86.333</v>
      </c>
      <c r="U26">
        <f t="shared" si="12"/>
        <v>50.333</v>
      </c>
      <c r="V26">
        <f t="shared" si="13"/>
        <v>28.594</v>
      </c>
      <c r="W26">
        <f t="shared" si="14"/>
        <v>7.58499999999998</v>
      </c>
      <c r="X26">
        <f t="shared" si="1"/>
        <v>3766.125</v>
      </c>
      <c r="Y26">
        <f t="shared" si="15"/>
        <v>5426048.92042161</v>
      </c>
      <c r="Z26">
        <f t="shared" si="16"/>
        <v>17529.1980468064</v>
      </c>
      <c r="AA26">
        <f t="shared" si="17"/>
        <v>385557.790489</v>
      </c>
      <c r="AB26">
        <f t="shared" si="18"/>
        <v>19895.1025</v>
      </c>
      <c r="AC26">
        <f t="shared" si="19"/>
        <v>7453.38688899999</v>
      </c>
      <c r="AD26">
        <f t="shared" si="20"/>
        <v>2533.410889</v>
      </c>
      <c r="AE26">
        <f t="shared" si="21"/>
        <v>817.616836</v>
      </c>
      <c r="AF26">
        <f t="shared" si="22"/>
        <v>57.5322249999997</v>
      </c>
      <c r="AG26">
        <f t="shared" si="3"/>
        <v>14183697.515625</v>
      </c>
      <c r="AI26">
        <f t="shared" si="23"/>
        <v>97251906.0153716</v>
      </c>
      <c r="AJ26">
        <f t="shared" si="24"/>
        <v>54757811.4303796</v>
      </c>
      <c r="AK26">
        <f t="shared" si="25"/>
        <v>66474393.031489</v>
      </c>
      <c r="AL26">
        <f t="shared" si="26"/>
        <v>54629837.44</v>
      </c>
      <c r="AM26">
        <f t="shared" si="27"/>
        <v>55441679.970889</v>
      </c>
      <c r="AN26">
        <f t="shared" si="28"/>
        <v>55979081.994889</v>
      </c>
      <c r="AO26">
        <f t="shared" si="29"/>
        <v>57166361.992336</v>
      </c>
      <c r="AP26">
        <f t="shared" si="30"/>
        <v>56620583.362225</v>
      </c>
    </row>
    <row r="27" spans="1:42">
      <c r="A27">
        <v>2</v>
      </c>
      <c r="B27">
        <v>9</v>
      </c>
      <c r="C27">
        <v>30</v>
      </c>
      <c r="D27">
        <v>45</v>
      </c>
      <c r="E27">
        <v>60</v>
      </c>
      <c r="F27">
        <v>588</v>
      </c>
      <c r="G27">
        <f t="shared" si="5"/>
        <v>-1299.605</v>
      </c>
      <c r="H27">
        <f t="shared" si="6"/>
        <v>805.640783531776</v>
      </c>
      <c r="I27">
        <v>45.179</v>
      </c>
      <c r="J27">
        <v>633.329</v>
      </c>
      <c r="K27">
        <v>576.333</v>
      </c>
      <c r="L27">
        <v>540.333</v>
      </c>
      <c r="M27">
        <v>553.415</v>
      </c>
      <c r="N27">
        <v>531.219</v>
      </c>
      <c r="P27">
        <f t="shared" si="7"/>
        <v>1887.605</v>
      </c>
      <c r="Q27">
        <f t="shared" si="8"/>
        <v>217.640783531776</v>
      </c>
      <c r="R27">
        <f t="shared" si="9"/>
        <v>542.821</v>
      </c>
      <c r="S27">
        <f t="shared" si="10"/>
        <v>45.329</v>
      </c>
      <c r="T27">
        <f t="shared" si="11"/>
        <v>11.667</v>
      </c>
      <c r="U27">
        <f t="shared" si="12"/>
        <v>47.667</v>
      </c>
      <c r="V27">
        <f t="shared" si="13"/>
        <v>34.585</v>
      </c>
      <c r="W27">
        <f t="shared" si="14"/>
        <v>56.7809999999999</v>
      </c>
      <c r="X27">
        <f t="shared" si="1"/>
        <v>3668.125</v>
      </c>
      <c r="Y27">
        <f t="shared" si="15"/>
        <v>3563052.636025</v>
      </c>
      <c r="Z27">
        <f t="shared" si="16"/>
        <v>47367.5106563253</v>
      </c>
      <c r="AA27">
        <f t="shared" si="17"/>
        <v>294654.638041</v>
      </c>
      <c r="AB27">
        <f t="shared" si="18"/>
        <v>2054.718241</v>
      </c>
      <c r="AC27">
        <f t="shared" si="19"/>
        <v>136.118889000001</v>
      </c>
      <c r="AD27">
        <f t="shared" si="20"/>
        <v>2272.142889</v>
      </c>
      <c r="AE27">
        <f t="shared" si="21"/>
        <v>1196.122225</v>
      </c>
      <c r="AF27">
        <f t="shared" si="22"/>
        <v>3224.08196099999</v>
      </c>
      <c r="AG27">
        <f t="shared" si="3"/>
        <v>13455141.015625</v>
      </c>
      <c r="AI27">
        <f t="shared" si="23"/>
        <v>85079501.061025</v>
      </c>
      <c r="AJ27">
        <f t="shared" si="24"/>
        <v>50674597.1767863</v>
      </c>
      <c r="AK27">
        <f t="shared" si="25"/>
        <v>62079759.823041</v>
      </c>
      <c r="AL27">
        <f t="shared" si="26"/>
        <v>53157529.028241</v>
      </c>
      <c r="AM27">
        <f t="shared" si="27"/>
        <v>53991884.238889</v>
      </c>
      <c r="AN27">
        <f t="shared" si="28"/>
        <v>54522230.262889</v>
      </c>
      <c r="AO27">
        <f t="shared" si="29"/>
        <v>54329208.597225</v>
      </c>
      <c r="AP27">
        <f t="shared" si="30"/>
        <v>54656907.366961</v>
      </c>
    </row>
    <row r="28" spans="1:42">
      <c r="A28">
        <v>2</v>
      </c>
      <c r="B28">
        <v>9</v>
      </c>
      <c r="C28">
        <v>75</v>
      </c>
      <c r="D28">
        <v>45</v>
      </c>
      <c r="E28">
        <v>60</v>
      </c>
      <c r="F28">
        <v>670</v>
      </c>
      <c r="G28">
        <f t="shared" si="5"/>
        <v>319.744299999999</v>
      </c>
      <c r="H28">
        <f t="shared" si="6"/>
        <v>1133.168099663</v>
      </c>
      <c r="I28">
        <v>573.515</v>
      </c>
      <c r="J28">
        <v>901.384</v>
      </c>
      <c r="K28">
        <v>760.6</v>
      </c>
      <c r="L28">
        <v>718.5</v>
      </c>
      <c r="M28">
        <v>692.225</v>
      </c>
      <c r="N28">
        <v>697.596</v>
      </c>
      <c r="P28">
        <f t="shared" si="7"/>
        <v>350.255700000001</v>
      </c>
      <c r="Q28">
        <f t="shared" si="8"/>
        <v>463.168099663001</v>
      </c>
      <c r="R28">
        <f t="shared" si="9"/>
        <v>96.485</v>
      </c>
      <c r="S28">
        <f t="shared" si="10"/>
        <v>231.384</v>
      </c>
      <c r="T28">
        <f t="shared" si="11"/>
        <v>90.6</v>
      </c>
      <c r="U28">
        <f t="shared" si="12"/>
        <v>48.5</v>
      </c>
      <c r="V28">
        <f t="shared" si="13"/>
        <v>22.225</v>
      </c>
      <c r="W28">
        <f t="shared" si="14"/>
        <v>27.596</v>
      </c>
      <c r="X28">
        <f t="shared" si="1"/>
        <v>3586.125</v>
      </c>
      <c r="Y28">
        <f t="shared" si="15"/>
        <v>122679.055382491</v>
      </c>
      <c r="Z28">
        <f t="shared" si="16"/>
        <v>214524.688545436</v>
      </c>
      <c r="AA28">
        <f t="shared" si="17"/>
        <v>9309.355225</v>
      </c>
      <c r="AB28">
        <f t="shared" si="18"/>
        <v>53538.555456</v>
      </c>
      <c r="AC28">
        <f t="shared" si="19"/>
        <v>8208.36</v>
      </c>
      <c r="AD28">
        <f t="shared" si="20"/>
        <v>2352.25</v>
      </c>
      <c r="AE28">
        <f t="shared" si="21"/>
        <v>493.950625000001</v>
      </c>
      <c r="AF28">
        <f t="shared" si="22"/>
        <v>761.539216</v>
      </c>
      <c r="AG28">
        <f t="shared" si="3"/>
        <v>12860292.515625</v>
      </c>
      <c r="AI28">
        <f t="shared" si="23"/>
        <v>56588092.0065325</v>
      </c>
      <c r="AJ28">
        <f t="shared" si="24"/>
        <v>45011779.9454295</v>
      </c>
      <c r="AK28">
        <f t="shared" si="25"/>
        <v>52834508.500225</v>
      </c>
      <c r="AL28">
        <f t="shared" si="26"/>
        <v>48175620.829956</v>
      </c>
      <c r="AM28">
        <f t="shared" si="27"/>
        <v>50149766.7225</v>
      </c>
      <c r="AN28">
        <f t="shared" si="28"/>
        <v>50747814.0625</v>
      </c>
      <c r="AO28">
        <f t="shared" si="29"/>
        <v>51122857.500625</v>
      </c>
      <c r="AP28">
        <f t="shared" si="30"/>
        <v>51046080.779716</v>
      </c>
    </row>
    <row r="29" spans="1:42">
      <c r="A29">
        <v>2</v>
      </c>
      <c r="B29">
        <v>9</v>
      </c>
      <c r="C29">
        <v>85</v>
      </c>
      <c r="D29">
        <v>45</v>
      </c>
      <c r="E29">
        <v>60</v>
      </c>
      <c r="F29">
        <v>750</v>
      </c>
      <c r="G29">
        <f t="shared" si="5"/>
        <v>679.599699999999</v>
      </c>
      <c r="H29">
        <f t="shared" si="6"/>
        <v>1187.22128625402</v>
      </c>
      <c r="I29">
        <v>690.923</v>
      </c>
      <c r="J29">
        <v>902.417</v>
      </c>
      <c r="K29">
        <v>760.6</v>
      </c>
      <c r="L29">
        <v>718.5</v>
      </c>
      <c r="M29">
        <v>737.655</v>
      </c>
      <c r="N29">
        <v>726.738</v>
      </c>
      <c r="P29">
        <f t="shared" si="7"/>
        <v>70.4003000000006</v>
      </c>
      <c r="Q29">
        <f t="shared" si="8"/>
        <v>437.22128625402</v>
      </c>
      <c r="R29">
        <f t="shared" si="9"/>
        <v>59.077</v>
      </c>
      <c r="S29">
        <f t="shared" si="10"/>
        <v>152.417</v>
      </c>
      <c r="T29">
        <f t="shared" si="11"/>
        <v>10.6</v>
      </c>
      <c r="U29">
        <f t="shared" si="12"/>
        <v>31.5</v>
      </c>
      <c r="V29">
        <f t="shared" si="13"/>
        <v>12.345</v>
      </c>
      <c r="W29">
        <f t="shared" si="14"/>
        <v>23.2619999999999</v>
      </c>
      <c r="X29">
        <f t="shared" si="1"/>
        <v>3506.125</v>
      </c>
      <c r="Y29">
        <f t="shared" si="15"/>
        <v>4956.20224009008</v>
      </c>
      <c r="Z29">
        <f t="shared" si="16"/>
        <v>191162.45315362</v>
      </c>
      <c r="AA29">
        <f t="shared" si="17"/>
        <v>3490.091929</v>
      </c>
      <c r="AB29">
        <f t="shared" si="18"/>
        <v>23230.941889</v>
      </c>
      <c r="AC29">
        <f t="shared" si="19"/>
        <v>112.36</v>
      </c>
      <c r="AD29">
        <f t="shared" si="20"/>
        <v>992.25</v>
      </c>
      <c r="AE29">
        <f t="shared" si="21"/>
        <v>152.399025000001</v>
      </c>
      <c r="AF29">
        <f t="shared" si="22"/>
        <v>541.120643999997</v>
      </c>
      <c r="AG29">
        <f t="shared" si="3"/>
        <v>12292912.515625</v>
      </c>
      <c r="AI29">
        <f t="shared" si="23"/>
        <v>50163935.2720901</v>
      </c>
      <c r="AJ29">
        <f t="shared" si="24"/>
        <v>43231002.5865841</v>
      </c>
      <c r="AK29">
        <f t="shared" si="25"/>
        <v>50003665.540929</v>
      </c>
      <c r="AL29">
        <f t="shared" si="26"/>
        <v>47057308.787889</v>
      </c>
      <c r="AM29">
        <f t="shared" si="27"/>
        <v>49023102.7225</v>
      </c>
      <c r="AN29">
        <f t="shared" si="28"/>
        <v>49614414.0625</v>
      </c>
      <c r="AO29">
        <f t="shared" si="29"/>
        <v>49344934.914025</v>
      </c>
      <c r="AP29">
        <f t="shared" si="30"/>
        <v>49498429.102144</v>
      </c>
    </row>
    <row r="30" spans="1:42">
      <c r="A30">
        <v>1</v>
      </c>
      <c r="B30">
        <v>9</v>
      </c>
      <c r="C30">
        <v>5</v>
      </c>
      <c r="D30">
        <v>15</v>
      </c>
      <c r="E30">
        <v>60</v>
      </c>
      <c r="F30">
        <v>2321</v>
      </c>
      <c r="G30">
        <f t="shared" si="5"/>
        <v>3161.1708</v>
      </c>
      <c r="H30">
        <f t="shared" si="6"/>
        <v>1965.30618530927</v>
      </c>
      <c r="I30">
        <v>3191.964</v>
      </c>
      <c r="J30">
        <v>2626.346</v>
      </c>
      <c r="K30">
        <v>2405</v>
      </c>
      <c r="L30">
        <v>3118</v>
      </c>
      <c r="M30">
        <v>2474.972</v>
      </c>
      <c r="N30">
        <v>2164.256</v>
      </c>
      <c r="P30">
        <f t="shared" si="7"/>
        <v>840.1708</v>
      </c>
      <c r="Q30">
        <f t="shared" si="8"/>
        <v>355.693814690727</v>
      </c>
      <c r="R30">
        <f t="shared" si="9"/>
        <v>870.964</v>
      </c>
      <c r="S30">
        <f t="shared" si="10"/>
        <v>305.346</v>
      </c>
      <c r="T30">
        <f t="shared" si="11"/>
        <v>84</v>
      </c>
      <c r="U30">
        <f t="shared" si="12"/>
        <v>797</v>
      </c>
      <c r="V30">
        <f t="shared" si="13"/>
        <v>153.972</v>
      </c>
      <c r="W30">
        <f t="shared" si="14"/>
        <v>156.744</v>
      </c>
      <c r="X30">
        <f t="shared" si="1"/>
        <v>1935.125</v>
      </c>
      <c r="Y30">
        <f t="shared" si="15"/>
        <v>705886.973172641</v>
      </c>
      <c r="Z30">
        <f t="shared" si="16"/>
        <v>126518.089809241</v>
      </c>
      <c r="AA30">
        <f t="shared" si="17"/>
        <v>758578.289296</v>
      </c>
      <c r="AB30">
        <f t="shared" si="18"/>
        <v>93236.179716</v>
      </c>
      <c r="AC30">
        <f t="shared" si="19"/>
        <v>7056</v>
      </c>
      <c r="AD30">
        <f t="shared" si="20"/>
        <v>635209</v>
      </c>
      <c r="AE30">
        <f t="shared" si="21"/>
        <v>23707.3767840001</v>
      </c>
      <c r="AF30">
        <f t="shared" si="22"/>
        <v>24568.681536</v>
      </c>
      <c r="AG30">
        <f t="shared" si="3"/>
        <v>3744708.765625</v>
      </c>
      <c r="AI30">
        <f t="shared" si="23"/>
        <v>9181379.95827264</v>
      </c>
      <c r="AJ30">
        <f t="shared" si="24"/>
        <v>17858601.1249228</v>
      </c>
      <c r="AK30">
        <f t="shared" si="25"/>
        <v>8995716.509796</v>
      </c>
      <c r="AL30">
        <f t="shared" si="26"/>
        <v>12708540.529216</v>
      </c>
      <c r="AM30">
        <f t="shared" si="27"/>
        <v>14335689.0625</v>
      </c>
      <c r="AN30">
        <f t="shared" si="28"/>
        <v>9444865.5625</v>
      </c>
      <c r="AO30">
        <f t="shared" si="29"/>
        <v>13810722.173284</v>
      </c>
      <c r="AP30">
        <f t="shared" si="30"/>
        <v>16216680.676036</v>
      </c>
    </row>
    <row r="31" spans="1:42">
      <c r="A31">
        <v>1</v>
      </c>
      <c r="B31">
        <v>9</v>
      </c>
      <c r="C31">
        <v>60</v>
      </c>
      <c r="D31">
        <v>15</v>
      </c>
      <c r="E31">
        <v>60</v>
      </c>
      <c r="F31">
        <v>5540</v>
      </c>
      <c r="G31">
        <f t="shared" si="5"/>
        <v>5140.3755</v>
      </c>
      <c r="H31">
        <f t="shared" si="6"/>
        <v>4956.88612819857</v>
      </c>
      <c r="I31">
        <v>4896.954</v>
      </c>
      <c r="J31">
        <v>5420.134</v>
      </c>
      <c r="K31">
        <v>5510</v>
      </c>
      <c r="L31">
        <v>5477.545</v>
      </c>
      <c r="M31">
        <v>5514.553</v>
      </c>
      <c r="N31">
        <v>5353.439</v>
      </c>
      <c r="P31">
        <f t="shared" si="7"/>
        <v>399.624499999999</v>
      </c>
      <c r="Q31">
        <f t="shared" si="8"/>
        <v>583.113871801427</v>
      </c>
      <c r="R31">
        <f t="shared" si="9"/>
        <v>643.046</v>
      </c>
      <c r="S31">
        <f t="shared" si="10"/>
        <v>119.866</v>
      </c>
      <c r="T31">
        <f t="shared" si="11"/>
        <v>30</v>
      </c>
      <c r="U31">
        <f t="shared" si="12"/>
        <v>62.4549999999999</v>
      </c>
      <c r="V31">
        <f t="shared" si="13"/>
        <v>25.4470000000001</v>
      </c>
      <c r="W31">
        <f t="shared" si="14"/>
        <v>186.561</v>
      </c>
      <c r="X31">
        <f t="shared" si="1"/>
        <v>1283.875</v>
      </c>
      <c r="Y31">
        <f t="shared" si="15"/>
        <v>159699.741000249</v>
      </c>
      <c r="Z31">
        <f t="shared" si="16"/>
        <v>340021.787487251</v>
      </c>
      <c r="AA31">
        <f t="shared" si="17"/>
        <v>413508.158116</v>
      </c>
      <c r="AB31">
        <f t="shared" si="18"/>
        <v>14367.857956</v>
      </c>
      <c r="AC31">
        <f t="shared" si="19"/>
        <v>900</v>
      </c>
      <c r="AD31">
        <f t="shared" si="20"/>
        <v>3900.62702499999</v>
      </c>
      <c r="AE31">
        <f t="shared" si="21"/>
        <v>647.549809000006</v>
      </c>
      <c r="AF31">
        <f t="shared" si="22"/>
        <v>34805.0067209999</v>
      </c>
      <c r="AG31">
        <f t="shared" si="3"/>
        <v>1648335.015625</v>
      </c>
      <c r="AI31">
        <f t="shared" si="23"/>
        <v>4700768.18375025</v>
      </c>
      <c r="AJ31">
        <f t="shared" si="24"/>
        <v>3938780.56135102</v>
      </c>
      <c r="AK31">
        <f t="shared" si="25"/>
        <v>3704485.487616</v>
      </c>
      <c r="AL31">
        <f t="shared" si="26"/>
        <v>5992136.077456</v>
      </c>
      <c r="AM31">
        <f t="shared" si="27"/>
        <v>6440175.0625</v>
      </c>
      <c r="AN31">
        <f t="shared" si="28"/>
        <v>6276503.037025</v>
      </c>
      <c r="AO31">
        <f t="shared" si="29"/>
        <v>6463304.543809</v>
      </c>
      <c r="AP31">
        <f t="shared" si="30"/>
        <v>5670061.053721</v>
      </c>
    </row>
    <row r="32" spans="1:42">
      <c r="A32">
        <v>1</v>
      </c>
      <c r="B32">
        <v>9</v>
      </c>
      <c r="C32">
        <v>95</v>
      </c>
      <c r="D32">
        <v>15</v>
      </c>
      <c r="E32">
        <v>60</v>
      </c>
      <c r="F32">
        <v>5841</v>
      </c>
      <c r="G32">
        <f t="shared" si="5"/>
        <v>6399.8694</v>
      </c>
      <c r="H32">
        <f t="shared" si="6"/>
        <v>5881.79177201071</v>
      </c>
      <c r="I32">
        <v>5816.059</v>
      </c>
      <c r="J32">
        <v>5511.182</v>
      </c>
      <c r="K32">
        <v>5770.4</v>
      </c>
      <c r="L32">
        <v>5477.545</v>
      </c>
      <c r="M32">
        <v>5782.156</v>
      </c>
      <c r="N32">
        <v>5840.803</v>
      </c>
      <c r="P32">
        <f t="shared" si="7"/>
        <v>558.8694</v>
      </c>
      <c r="Q32">
        <f t="shared" si="8"/>
        <v>40.7917720107116</v>
      </c>
      <c r="R32">
        <f t="shared" si="9"/>
        <v>24.9409999999998</v>
      </c>
      <c r="S32">
        <f t="shared" si="10"/>
        <v>329.818</v>
      </c>
      <c r="T32">
        <f t="shared" si="11"/>
        <v>70.6000000000004</v>
      </c>
      <c r="U32">
        <f t="shared" si="12"/>
        <v>363.455</v>
      </c>
      <c r="V32">
        <f t="shared" si="13"/>
        <v>58.8440000000001</v>
      </c>
      <c r="W32">
        <f t="shared" si="14"/>
        <v>0.197000000000116</v>
      </c>
      <c r="X32">
        <f t="shared" si="1"/>
        <v>1584.875</v>
      </c>
      <c r="Y32">
        <f t="shared" si="15"/>
        <v>312335.006256361</v>
      </c>
      <c r="Z32">
        <f t="shared" si="16"/>
        <v>1663.96866377388</v>
      </c>
      <c r="AA32">
        <f t="shared" si="17"/>
        <v>622.05348099999</v>
      </c>
      <c r="AB32">
        <f t="shared" si="18"/>
        <v>108779.913124</v>
      </c>
      <c r="AC32">
        <f t="shared" si="19"/>
        <v>4984.36000000005</v>
      </c>
      <c r="AD32">
        <f t="shared" si="20"/>
        <v>132099.537025</v>
      </c>
      <c r="AE32">
        <f t="shared" si="21"/>
        <v>3462.61633600001</v>
      </c>
      <c r="AF32">
        <f t="shared" si="22"/>
        <v>0.0388090000000459</v>
      </c>
      <c r="AG32">
        <f t="shared" si="3"/>
        <v>2511828.765625</v>
      </c>
      <c r="AI32">
        <f t="shared" si="23"/>
        <v>13902602.6300564</v>
      </c>
      <c r="AJ32">
        <f t="shared" si="24"/>
        <v>10307578.4698257</v>
      </c>
      <c r="AK32">
        <f t="shared" si="25"/>
        <v>9889823.646481</v>
      </c>
      <c r="AL32">
        <f t="shared" si="26"/>
        <v>8065213.764624</v>
      </c>
      <c r="AM32">
        <f t="shared" si="27"/>
        <v>9604730.7225</v>
      </c>
      <c r="AN32">
        <f t="shared" si="28"/>
        <v>7875291.627025</v>
      </c>
      <c r="AO32">
        <f t="shared" si="29"/>
        <v>9677736.140836</v>
      </c>
      <c r="AP32">
        <f t="shared" si="30"/>
        <v>10046066.219809</v>
      </c>
    </row>
    <row r="33" spans="1:42">
      <c r="A33">
        <v>1</v>
      </c>
      <c r="B33">
        <v>9</v>
      </c>
      <c r="C33">
        <v>25</v>
      </c>
      <c r="D33">
        <v>45</v>
      </c>
      <c r="E33">
        <v>60</v>
      </c>
      <c r="F33">
        <v>1020</v>
      </c>
      <c r="G33">
        <f t="shared" si="5"/>
        <v>610.4673</v>
      </c>
      <c r="H33">
        <f t="shared" si="6"/>
        <v>1810.99504760894</v>
      </c>
      <c r="I33">
        <v>1208.206</v>
      </c>
      <c r="J33">
        <v>1174.556</v>
      </c>
      <c r="K33">
        <v>995.25</v>
      </c>
      <c r="L33">
        <v>1040.2</v>
      </c>
      <c r="M33">
        <v>996.451</v>
      </c>
      <c r="N33">
        <v>1127.175</v>
      </c>
      <c r="P33">
        <f t="shared" si="7"/>
        <v>409.5327</v>
      </c>
      <c r="Q33">
        <f t="shared" si="8"/>
        <v>790.995047608937</v>
      </c>
      <c r="R33">
        <f t="shared" si="9"/>
        <v>188.206</v>
      </c>
      <c r="S33">
        <f t="shared" si="10"/>
        <v>154.556</v>
      </c>
      <c r="T33">
        <f t="shared" si="11"/>
        <v>24.75</v>
      </c>
      <c r="U33">
        <f t="shared" si="12"/>
        <v>20.2</v>
      </c>
      <c r="V33">
        <f t="shared" si="13"/>
        <v>23.549</v>
      </c>
      <c r="W33">
        <f t="shared" si="14"/>
        <v>107.175</v>
      </c>
      <c r="X33">
        <f t="shared" si="1"/>
        <v>3236.125</v>
      </c>
      <c r="Y33">
        <f t="shared" si="15"/>
        <v>167717.03236929</v>
      </c>
      <c r="Z33">
        <f t="shared" si="16"/>
        <v>625673.165341865</v>
      </c>
      <c r="AA33">
        <f t="shared" si="17"/>
        <v>35421.498436</v>
      </c>
      <c r="AB33">
        <f t="shared" si="18"/>
        <v>23887.557136</v>
      </c>
      <c r="AC33">
        <f t="shared" si="19"/>
        <v>612.5625</v>
      </c>
      <c r="AD33">
        <f t="shared" si="20"/>
        <v>408.040000000002</v>
      </c>
      <c r="AE33">
        <f t="shared" si="21"/>
        <v>554.555400999999</v>
      </c>
      <c r="AF33">
        <f t="shared" si="22"/>
        <v>11486.480625</v>
      </c>
      <c r="AG33">
        <f t="shared" si="3"/>
        <v>10472505.015625</v>
      </c>
      <c r="AI33">
        <f t="shared" si="23"/>
        <v>47358933.1300193</v>
      </c>
      <c r="AJ33">
        <f t="shared" si="24"/>
        <v>32276657.834068</v>
      </c>
      <c r="AK33">
        <f t="shared" si="25"/>
        <v>39489208.993936</v>
      </c>
      <c r="AL33">
        <f t="shared" si="26"/>
        <v>39913257.477636</v>
      </c>
      <c r="AM33">
        <f t="shared" si="27"/>
        <v>42211009</v>
      </c>
      <c r="AN33">
        <f t="shared" si="28"/>
        <v>41628949.2025</v>
      </c>
      <c r="AO33">
        <f t="shared" si="29"/>
        <v>42195404.648401</v>
      </c>
      <c r="AP33">
        <f t="shared" si="30"/>
        <v>40514179.755625</v>
      </c>
    </row>
    <row r="34" spans="1:42">
      <c r="A34">
        <v>1</v>
      </c>
      <c r="B34">
        <v>9</v>
      </c>
      <c r="C34">
        <v>45</v>
      </c>
      <c r="D34">
        <v>45</v>
      </c>
      <c r="E34">
        <v>60</v>
      </c>
      <c r="F34">
        <v>2134</v>
      </c>
      <c r="G34">
        <f t="shared" si="5"/>
        <v>1330.1781</v>
      </c>
      <c r="H34">
        <f t="shared" si="6"/>
        <v>2254.00621039238</v>
      </c>
      <c r="I34">
        <v>1752.756</v>
      </c>
      <c r="J34">
        <v>2235.621</v>
      </c>
      <c r="K34">
        <v>2235.333</v>
      </c>
      <c r="L34">
        <v>2218.2</v>
      </c>
      <c r="M34">
        <v>1797.316</v>
      </c>
      <c r="N34">
        <v>1697.753</v>
      </c>
      <c r="P34">
        <f t="shared" si="7"/>
        <v>803.8219</v>
      </c>
      <c r="Q34">
        <f t="shared" si="8"/>
        <v>120.006210392375</v>
      </c>
      <c r="R34">
        <f t="shared" si="9"/>
        <v>381.244</v>
      </c>
      <c r="S34">
        <f t="shared" si="10"/>
        <v>101.621</v>
      </c>
      <c r="T34">
        <f t="shared" si="11"/>
        <v>101.333</v>
      </c>
      <c r="U34">
        <f t="shared" si="12"/>
        <v>84.1999999999998</v>
      </c>
      <c r="V34">
        <f t="shared" si="13"/>
        <v>336.684</v>
      </c>
      <c r="W34">
        <f t="shared" si="14"/>
        <v>436.247</v>
      </c>
      <c r="X34">
        <f t="shared" si="1"/>
        <v>2122.125</v>
      </c>
      <c r="Y34">
        <f t="shared" si="15"/>
        <v>646129.646919611</v>
      </c>
      <c r="Z34">
        <f t="shared" si="16"/>
        <v>14401.490532739</v>
      </c>
      <c r="AA34">
        <f t="shared" si="17"/>
        <v>145346.987536</v>
      </c>
      <c r="AB34">
        <f t="shared" si="18"/>
        <v>10326.827641</v>
      </c>
      <c r="AC34">
        <f t="shared" si="19"/>
        <v>10268.376889</v>
      </c>
      <c r="AD34">
        <f t="shared" si="20"/>
        <v>7089.63999999997</v>
      </c>
      <c r="AE34">
        <f t="shared" si="21"/>
        <v>113356.115856</v>
      </c>
      <c r="AF34">
        <f t="shared" si="22"/>
        <v>190311.445009</v>
      </c>
      <c r="AG34">
        <f t="shared" si="3"/>
        <v>4503414.515625</v>
      </c>
      <c r="AI34">
        <f t="shared" si="23"/>
        <v>25483029.9075696</v>
      </c>
      <c r="AJ34">
        <f t="shared" si="24"/>
        <v>17009386.8361171</v>
      </c>
      <c r="AK34">
        <f t="shared" si="25"/>
        <v>21395194.744036</v>
      </c>
      <c r="AL34">
        <f t="shared" si="26"/>
        <v>17161375.031641</v>
      </c>
      <c r="AM34">
        <f t="shared" si="27"/>
        <v>17163761.268889</v>
      </c>
      <c r="AN34">
        <f t="shared" si="28"/>
        <v>17306016.0025</v>
      </c>
      <c r="AO34">
        <f t="shared" si="29"/>
        <v>20984956.312356</v>
      </c>
      <c r="AP34">
        <f t="shared" si="30"/>
        <v>21907052.167009</v>
      </c>
    </row>
    <row r="35" spans="1:42">
      <c r="A35">
        <v>1</v>
      </c>
      <c r="B35">
        <v>9</v>
      </c>
      <c r="C35">
        <v>95</v>
      </c>
      <c r="D35">
        <v>45</v>
      </c>
      <c r="E35">
        <v>60</v>
      </c>
      <c r="F35">
        <v>3247</v>
      </c>
      <c r="G35">
        <f t="shared" si="5"/>
        <v>3129.4551</v>
      </c>
      <c r="H35">
        <f t="shared" si="6"/>
        <v>2976.94252795834</v>
      </c>
      <c r="I35">
        <v>3114.133</v>
      </c>
      <c r="J35">
        <v>3119.552</v>
      </c>
      <c r="K35">
        <v>3286.75</v>
      </c>
      <c r="L35">
        <v>3040.667</v>
      </c>
      <c r="M35">
        <v>3273.015</v>
      </c>
      <c r="N35">
        <v>3130.395</v>
      </c>
      <c r="P35">
        <f t="shared" si="7"/>
        <v>117.5449</v>
      </c>
      <c r="Q35">
        <f t="shared" si="8"/>
        <v>270.057472041656</v>
      </c>
      <c r="R35">
        <f t="shared" si="9"/>
        <v>132.867</v>
      </c>
      <c r="S35">
        <f t="shared" si="10"/>
        <v>127.448</v>
      </c>
      <c r="T35">
        <f t="shared" si="11"/>
        <v>39.75</v>
      </c>
      <c r="U35">
        <f t="shared" si="12"/>
        <v>206.333</v>
      </c>
      <c r="V35">
        <f t="shared" si="13"/>
        <v>26.0149999999999</v>
      </c>
      <c r="W35">
        <f t="shared" si="14"/>
        <v>116.605</v>
      </c>
      <c r="X35">
        <f t="shared" si="1"/>
        <v>1009.125</v>
      </c>
      <c r="Y35">
        <f t="shared" si="15"/>
        <v>13816.8035160101</v>
      </c>
      <c r="Z35">
        <f t="shared" si="16"/>
        <v>72931.0382055299</v>
      </c>
      <c r="AA35">
        <f t="shared" si="17"/>
        <v>17653.6396890001</v>
      </c>
      <c r="AB35">
        <f t="shared" si="18"/>
        <v>16242.992704</v>
      </c>
      <c r="AC35">
        <f t="shared" si="19"/>
        <v>1580.0625</v>
      </c>
      <c r="AD35">
        <f t="shared" si="20"/>
        <v>42573.306889</v>
      </c>
      <c r="AE35">
        <f t="shared" si="21"/>
        <v>676.780224999993</v>
      </c>
      <c r="AF35">
        <f t="shared" si="22"/>
        <v>13596.726025</v>
      </c>
      <c r="AG35">
        <f t="shared" si="3"/>
        <v>1018333.265625</v>
      </c>
      <c r="AI35">
        <f t="shared" si="23"/>
        <v>4561619.85486601</v>
      </c>
      <c r="AJ35">
        <f t="shared" si="24"/>
        <v>5236351.08660168</v>
      </c>
      <c r="AK35">
        <f t="shared" si="25"/>
        <v>4627304.347689</v>
      </c>
      <c r="AL35">
        <f t="shared" si="26"/>
        <v>4604019.907204</v>
      </c>
      <c r="AM35">
        <f t="shared" si="27"/>
        <v>3914462.25</v>
      </c>
      <c r="AN35">
        <f t="shared" si="28"/>
        <v>4948769.523889</v>
      </c>
      <c r="AO35">
        <f t="shared" si="29"/>
        <v>3969000.295225</v>
      </c>
      <c r="AP35">
        <f t="shared" si="30"/>
        <v>4557605.871025</v>
      </c>
    </row>
    <row r="36" spans="1:42">
      <c r="A36">
        <v>1</v>
      </c>
      <c r="B36">
        <v>18</v>
      </c>
      <c r="C36">
        <v>25</v>
      </c>
      <c r="D36">
        <v>15</v>
      </c>
      <c r="E36">
        <v>60</v>
      </c>
      <c r="F36">
        <v>6302</v>
      </c>
      <c r="G36">
        <f t="shared" si="5"/>
        <v>6778.29705</v>
      </c>
      <c r="H36">
        <f t="shared" si="6"/>
        <v>6394.23413312726</v>
      </c>
      <c r="I36">
        <v>6832.227</v>
      </c>
      <c r="J36">
        <v>6546.963</v>
      </c>
      <c r="K36">
        <v>7422</v>
      </c>
      <c r="L36">
        <v>7248.667</v>
      </c>
      <c r="M36">
        <v>6813.335</v>
      </c>
      <c r="N36">
        <v>6704.867</v>
      </c>
      <c r="P36">
        <f t="shared" si="7"/>
        <v>476.29705</v>
      </c>
      <c r="Q36">
        <f t="shared" si="8"/>
        <v>92.2341331272628</v>
      </c>
      <c r="R36">
        <f t="shared" si="9"/>
        <v>530.227</v>
      </c>
      <c r="S36">
        <f t="shared" si="10"/>
        <v>244.963</v>
      </c>
      <c r="T36">
        <f t="shared" si="11"/>
        <v>1120</v>
      </c>
      <c r="U36">
        <f t="shared" si="12"/>
        <v>946.667</v>
      </c>
      <c r="V36">
        <f t="shared" si="13"/>
        <v>511.335</v>
      </c>
      <c r="W36">
        <f t="shared" si="14"/>
        <v>402.867</v>
      </c>
      <c r="X36">
        <f t="shared" si="1"/>
        <v>2045.875</v>
      </c>
      <c r="Y36">
        <f t="shared" si="15"/>
        <v>226858.879838703</v>
      </c>
      <c r="Z36">
        <f t="shared" si="16"/>
        <v>8507.13531373764</v>
      </c>
      <c r="AA36">
        <f t="shared" si="17"/>
        <v>281140.671529</v>
      </c>
      <c r="AB36">
        <f t="shared" si="18"/>
        <v>60006.8713689999</v>
      </c>
      <c r="AC36">
        <f t="shared" si="19"/>
        <v>1254400</v>
      </c>
      <c r="AD36">
        <f t="shared" si="20"/>
        <v>896178.408889001</v>
      </c>
      <c r="AE36">
        <f t="shared" si="21"/>
        <v>261463.482225</v>
      </c>
      <c r="AF36">
        <f t="shared" si="22"/>
        <v>162301.819689</v>
      </c>
      <c r="AG36">
        <f t="shared" si="3"/>
        <v>4185604.515625</v>
      </c>
      <c r="AI36">
        <f t="shared" si="23"/>
        <v>20867053.8510137</v>
      </c>
      <c r="AJ36">
        <f t="shared" si="24"/>
        <v>17505723.2262607</v>
      </c>
      <c r="AK36">
        <f t="shared" si="25"/>
        <v>21362671.388529</v>
      </c>
      <c r="AL36">
        <f t="shared" si="26"/>
        <v>18807079.644369</v>
      </c>
      <c r="AM36">
        <f t="shared" si="27"/>
        <v>27162338.0625</v>
      </c>
      <c r="AN36">
        <f t="shared" si="28"/>
        <v>25385645.865889</v>
      </c>
      <c r="AO36">
        <f t="shared" si="29"/>
        <v>21188391.517225</v>
      </c>
      <c r="AP36">
        <f t="shared" si="30"/>
        <v>20201581.976689</v>
      </c>
    </row>
    <row r="37" spans="1:42">
      <c r="A37">
        <v>1</v>
      </c>
      <c r="B37">
        <v>18</v>
      </c>
      <c r="C37">
        <v>60</v>
      </c>
      <c r="D37">
        <v>15</v>
      </c>
      <c r="E37">
        <v>60</v>
      </c>
      <c r="F37">
        <v>9550</v>
      </c>
      <c r="G37">
        <f t="shared" si="5"/>
        <v>8037.79095</v>
      </c>
      <c r="H37">
        <f t="shared" si="6"/>
        <v>8858.10897657742</v>
      </c>
      <c r="I37">
        <v>8792.898</v>
      </c>
      <c r="J37">
        <v>9451.765</v>
      </c>
      <c r="K37">
        <v>9631</v>
      </c>
      <c r="L37">
        <v>9853.824</v>
      </c>
      <c r="M37">
        <v>9456.761</v>
      </c>
      <c r="N37">
        <v>9605.022</v>
      </c>
      <c r="P37">
        <f t="shared" si="7"/>
        <v>1512.20905</v>
      </c>
      <c r="Q37">
        <f t="shared" si="8"/>
        <v>691.891023422582</v>
      </c>
      <c r="R37">
        <f t="shared" si="9"/>
        <v>757.102000000001</v>
      </c>
      <c r="S37">
        <f t="shared" si="10"/>
        <v>98.2350000000006</v>
      </c>
      <c r="T37">
        <f t="shared" si="11"/>
        <v>81</v>
      </c>
      <c r="U37">
        <f t="shared" si="12"/>
        <v>303.824000000001</v>
      </c>
      <c r="V37">
        <f t="shared" si="13"/>
        <v>93.2389999999996</v>
      </c>
      <c r="W37">
        <f t="shared" si="14"/>
        <v>55.0220000000008</v>
      </c>
      <c r="X37">
        <f t="shared" si="1"/>
        <v>5293.875</v>
      </c>
      <c r="Y37">
        <f t="shared" si="15"/>
        <v>2286776.2109019</v>
      </c>
      <c r="Z37">
        <f t="shared" si="16"/>
        <v>478713.188292748</v>
      </c>
      <c r="AA37">
        <f t="shared" si="17"/>
        <v>573203.438404001</v>
      </c>
      <c r="AB37">
        <f t="shared" si="18"/>
        <v>9650.11522500011</v>
      </c>
      <c r="AC37">
        <f t="shared" si="19"/>
        <v>6561</v>
      </c>
      <c r="AD37">
        <f t="shared" si="20"/>
        <v>92309.0229760003</v>
      </c>
      <c r="AE37">
        <f t="shared" si="21"/>
        <v>8693.51112099992</v>
      </c>
      <c r="AF37">
        <f t="shared" si="22"/>
        <v>3027.42048400009</v>
      </c>
      <c r="AG37">
        <f t="shared" si="3"/>
        <v>28025112.515625</v>
      </c>
      <c r="AI37">
        <f t="shared" si="23"/>
        <v>82365443.5351269</v>
      </c>
      <c r="AJ37">
        <f t="shared" si="24"/>
        <v>97928024.8843079</v>
      </c>
      <c r="AK37">
        <f t="shared" si="25"/>
        <v>96641640.099904</v>
      </c>
      <c r="AL37">
        <f t="shared" si="26"/>
        <v>110029924.935225</v>
      </c>
      <c r="AM37">
        <f t="shared" si="27"/>
        <v>113822226.5625</v>
      </c>
      <c r="AN37">
        <f t="shared" si="28"/>
        <v>118626384.197476</v>
      </c>
      <c r="AO37">
        <f t="shared" si="29"/>
        <v>110134761.129121</v>
      </c>
      <c r="AP37">
        <f t="shared" si="30"/>
        <v>113268595.843984</v>
      </c>
    </row>
    <row r="38" spans="1:42">
      <c r="A38">
        <v>1</v>
      </c>
      <c r="B38">
        <v>18</v>
      </c>
      <c r="C38">
        <v>70</v>
      </c>
      <c r="D38">
        <v>15</v>
      </c>
      <c r="E38">
        <v>60</v>
      </c>
      <c r="F38">
        <v>9642</v>
      </c>
      <c r="G38">
        <f t="shared" si="5"/>
        <v>8397.64635</v>
      </c>
      <c r="H38">
        <f t="shared" si="6"/>
        <v>9381.34873357847</v>
      </c>
      <c r="I38">
        <v>9134.663</v>
      </c>
      <c r="J38">
        <v>9417.021</v>
      </c>
      <c r="K38">
        <v>9631</v>
      </c>
      <c r="L38">
        <v>9853.824</v>
      </c>
      <c r="M38">
        <v>9588.878</v>
      </c>
      <c r="N38">
        <v>9877.365</v>
      </c>
      <c r="P38">
        <f t="shared" si="7"/>
        <v>1244.35365</v>
      </c>
      <c r="Q38">
        <f t="shared" si="8"/>
        <v>260.65126642153</v>
      </c>
      <c r="R38">
        <f t="shared" si="9"/>
        <v>507.337</v>
      </c>
      <c r="S38">
        <f t="shared" si="10"/>
        <v>224.978999999999</v>
      </c>
      <c r="T38">
        <f t="shared" si="11"/>
        <v>11</v>
      </c>
      <c r="U38">
        <f t="shared" si="12"/>
        <v>211.824000000001</v>
      </c>
      <c r="V38">
        <f t="shared" si="13"/>
        <v>53.1219999999994</v>
      </c>
      <c r="W38">
        <f t="shared" si="14"/>
        <v>235.365</v>
      </c>
      <c r="X38">
        <f t="shared" si="1"/>
        <v>5385.875</v>
      </c>
      <c r="Y38">
        <f t="shared" si="15"/>
        <v>1548416.00626832</v>
      </c>
      <c r="Z38">
        <f t="shared" si="16"/>
        <v>67939.0826871473</v>
      </c>
      <c r="AA38">
        <f t="shared" si="17"/>
        <v>257390.831569</v>
      </c>
      <c r="AB38">
        <f t="shared" si="18"/>
        <v>50615.5504409997</v>
      </c>
      <c r="AC38">
        <f t="shared" si="19"/>
        <v>121</v>
      </c>
      <c r="AD38">
        <f t="shared" si="20"/>
        <v>44869.4069760002</v>
      </c>
      <c r="AE38">
        <f t="shared" si="21"/>
        <v>2821.94688399993</v>
      </c>
      <c r="AF38">
        <f t="shared" si="22"/>
        <v>55396.6832249999</v>
      </c>
      <c r="AG38">
        <f t="shared" si="3"/>
        <v>29007649.515625</v>
      </c>
      <c r="AI38">
        <f t="shared" si="23"/>
        <v>90771281.2099933</v>
      </c>
      <c r="AJ38">
        <f t="shared" si="24"/>
        <v>110483196.587035</v>
      </c>
      <c r="AK38">
        <f t="shared" si="25"/>
        <v>105358174.234569</v>
      </c>
      <c r="AL38">
        <f t="shared" si="26"/>
        <v>111234378.526441</v>
      </c>
      <c r="AM38">
        <f t="shared" si="27"/>
        <v>115793740.5625</v>
      </c>
      <c r="AN38">
        <f t="shared" si="28"/>
        <v>120638897.813476</v>
      </c>
      <c r="AO38">
        <f t="shared" si="29"/>
        <v>114888986.202384</v>
      </c>
      <c r="AP38">
        <f t="shared" si="30"/>
        <v>121156580.623225</v>
      </c>
    </row>
    <row r="39" spans="1:42">
      <c r="A39">
        <v>1</v>
      </c>
      <c r="B39">
        <v>18</v>
      </c>
      <c r="C39">
        <v>5</v>
      </c>
      <c r="D39">
        <v>45</v>
      </c>
      <c r="E39">
        <v>60</v>
      </c>
      <c r="F39">
        <v>932</v>
      </c>
      <c r="G39">
        <f t="shared" si="5"/>
        <v>2788.17195</v>
      </c>
      <c r="H39">
        <f t="shared" si="6"/>
        <v>1777.55522607415</v>
      </c>
      <c r="I39">
        <v>1204.119</v>
      </c>
      <c r="J39">
        <v>1246.655</v>
      </c>
      <c r="K39">
        <v>1007.5</v>
      </c>
      <c r="L39">
        <v>1206.833</v>
      </c>
      <c r="M39">
        <v>997.154</v>
      </c>
      <c r="N39">
        <v>28.291</v>
      </c>
      <c r="P39">
        <f t="shared" si="7"/>
        <v>1856.17195</v>
      </c>
      <c r="Q39">
        <f t="shared" si="8"/>
        <v>845.555226074153</v>
      </c>
      <c r="R39">
        <f t="shared" si="9"/>
        <v>272.119</v>
      </c>
      <c r="S39">
        <f t="shared" si="10"/>
        <v>314.655</v>
      </c>
      <c r="T39">
        <f t="shared" si="11"/>
        <v>75.5</v>
      </c>
      <c r="U39">
        <f t="shared" si="12"/>
        <v>274.833</v>
      </c>
      <c r="V39">
        <f t="shared" si="13"/>
        <v>65.154</v>
      </c>
      <c r="W39">
        <f t="shared" si="14"/>
        <v>903.709</v>
      </c>
      <c r="X39">
        <f t="shared" si="1"/>
        <v>3324.125</v>
      </c>
      <c r="Y39">
        <f t="shared" si="15"/>
        <v>3445374.3079668</v>
      </c>
      <c r="Z39">
        <f t="shared" si="16"/>
        <v>714963.640341311</v>
      </c>
      <c r="AA39">
        <f t="shared" si="17"/>
        <v>74048.750161</v>
      </c>
      <c r="AB39">
        <f t="shared" si="18"/>
        <v>99007.769025</v>
      </c>
      <c r="AC39">
        <f t="shared" si="19"/>
        <v>5700.25</v>
      </c>
      <c r="AD39">
        <f t="shared" si="20"/>
        <v>75533.177889</v>
      </c>
      <c r="AE39">
        <f t="shared" si="21"/>
        <v>4245.043716</v>
      </c>
      <c r="AF39">
        <f t="shared" si="22"/>
        <v>816689.956681</v>
      </c>
      <c r="AG39">
        <f t="shared" si="3"/>
        <v>11049807.015625</v>
      </c>
      <c r="AI39">
        <f t="shared" si="23"/>
        <v>22964012.0372918</v>
      </c>
      <c r="AJ39">
        <f t="shared" si="24"/>
        <v>33671266.6393463</v>
      </c>
      <c r="AK39">
        <f t="shared" si="25"/>
        <v>40655046.529161</v>
      </c>
      <c r="AL39">
        <f t="shared" si="26"/>
        <v>40114425.624025</v>
      </c>
      <c r="AM39">
        <f t="shared" si="27"/>
        <v>43201042.5625</v>
      </c>
      <c r="AN39">
        <f t="shared" si="28"/>
        <v>40620444.255889</v>
      </c>
      <c r="AO39">
        <f t="shared" si="29"/>
        <v>43337152.945216</v>
      </c>
      <c r="AP39">
        <f t="shared" si="30"/>
        <v>57032084.737681</v>
      </c>
    </row>
    <row r="40" spans="1:42">
      <c r="A40">
        <v>1</v>
      </c>
      <c r="B40">
        <v>18</v>
      </c>
      <c r="C40">
        <v>30</v>
      </c>
      <c r="D40">
        <v>45</v>
      </c>
      <c r="E40">
        <v>60</v>
      </c>
      <c r="F40">
        <v>2075</v>
      </c>
      <c r="G40">
        <f t="shared" si="5"/>
        <v>3687.81045</v>
      </c>
      <c r="H40">
        <f t="shared" si="6"/>
        <v>3463.60600352064</v>
      </c>
      <c r="I40">
        <v>2473.105</v>
      </c>
      <c r="J40">
        <v>2506.941</v>
      </c>
      <c r="K40">
        <v>2220</v>
      </c>
      <c r="L40">
        <v>2814.5</v>
      </c>
      <c r="M40">
        <v>1713.611</v>
      </c>
      <c r="N40">
        <v>2039.331</v>
      </c>
      <c r="P40">
        <f t="shared" si="7"/>
        <v>1612.81045</v>
      </c>
      <c r="Q40">
        <f t="shared" si="8"/>
        <v>1388.60600352064</v>
      </c>
      <c r="R40">
        <f t="shared" si="9"/>
        <v>398.105</v>
      </c>
      <c r="S40">
        <f t="shared" si="10"/>
        <v>431.941</v>
      </c>
      <c r="T40">
        <f t="shared" si="11"/>
        <v>145</v>
      </c>
      <c r="U40">
        <f t="shared" si="12"/>
        <v>739.5</v>
      </c>
      <c r="V40">
        <f t="shared" si="13"/>
        <v>361.389</v>
      </c>
      <c r="W40">
        <f t="shared" si="14"/>
        <v>35.6690000000001</v>
      </c>
      <c r="X40">
        <f t="shared" si="1"/>
        <v>2181.125</v>
      </c>
      <c r="Y40">
        <f t="shared" si="15"/>
        <v>2601157.5476292</v>
      </c>
      <c r="Z40">
        <f t="shared" si="16"/>
        <v>1928226.63301356</v>
      </c>
      <c r="AA40">
        <f t="shared" si="17"/>
        <v>158487.591025</v>
      </c>
      <c r="AB40">
        <f t="shared" si="18"/>
        <v>186573.027481</v>
      </c>
      <c r="AC40">
        <f t="shared" si="19"/>
        <v>21025</v>
      </c>
      <c r="AD40">
        <f t="shared" si="20"/>
        <v>546860.25</v>
      </c>
      <c r="AE40">
        <f t="shared" si="21"/>
        <v>130602.009321</v>
      </c>
      <c r="AF40">
        <f t="shared" si="22"/>
        <v>1272.27756100001</v>
      </c>
      <c r="AG40">
        <f t="shared" si="3"/>
        <v>4757306.265625</v>
      </c>
      <c r="AI40">
        <f t="shared" si="23"/>
        <v>7559417.83910421</v>
      </c>
      <c r="AJ40">
        <f t="shared" si="24"/>
        <v>8842558.61779775</v>
      </c>
      <c r="AK40">
        <f t="shared" si="25"/>
        <v>15714445.581025</v>
      </c>
      <c r="AL40">
        <f t="shared" si="26"/>
        <v>15447328.835481</v>
      </c>
      <c r="AM40">
        <f t="shared" si="27"/>
        <v>17785197.5625</v>
      </c>
      <c r="AN40">
        <f t="shared" si="28"/>
        <v>13124317.5625</v>
      </c>
      <c r="AO40">
        <f t="shared" si="29"/>
        <v>22312765.402321</v>
      </c>
      <c r="AP40">
        <f t="shared" si="30"/>
        <v>19341691.530561</v>
      </c>
    </row>
    <row r="41" spans="1:42">
      <c r="A41">
        <v>1</v>
      </c>
      <c r="B41">
        <v>18</v>
      </c>
      <c r="C41">
        <v>65</v>
      </c>
      <c r="D41">
        <v>45</v>
      </c>
      <c r="E41">
        <v>60</v>
      </c>
      <c r="F41">
        <v>5275</v>
      </c>
      <c r="G41">
        <f t="shared" si="5"/>
        <v>4947.30435</v>
      </c>
      <c r="H41">
        <f t="shared" si="6"/>
        <v>4618.95510657736</v>
      </c>
      <c r="I41">
        <v>4683.749</v>
      </c>
      <c r="J41">
        <v>5387.23</v>
      </c>
      <c r="K41">
        <v>5315.5</v>
      </c>
      <c r="L41">
        <v>5417.333</v>
      </c>
      <c r="M41">
        <v>5059.269</v>
      </c>
      <c r="N41">
        <v>4939.542</v>
      </c>
      <c r="P41">
        <f t="shared" si="7"/>
        <v>327.695650000001</v>
      </c>
      <c r="Q41">
        <f t="shared" si="8"/>
        <v>656.044893422637</v>
      </c>
      <c r="R41">
        <f t="shared" si="9"/>
        <v>591.251</v>
      </c>
      <c r="S41">
        <f t="shared" si="10"/>
        <v>112.23</v>
      </c>
      <c r="T41">
        <f t="shared" si="11"/>
        <v>40.5</v>
      </c>
      <c r="U41">
        <f t="shared" si="12"/>
        <v>142.333</v>
      </c>
      <c r="V41">
        <f t="shared" si="13"/>
        <v>215.731</v>
      </c>
      <c r="W41">
        <f t="shared" si="14"/>
        <v>335.458</v>
      </c>
      <c r="X41">
        <f t="shared" si="1"/>
        <v>1018.875</v>
      </c>
      <c r="Y41">
        <f t="shared" si="15"/>
        <v>107384.439028923</v>
      </c>
      <c r="Z41">
        <f t="shared" si="16"/>
        <v>430394.902185919</v>
      </c>
      <c r="AA41">
        <f t="shared" si="17"/>
        <v>349577.745001</v>
      </c>
      <c r="AB41">
        <f t="shared" si="18"/>
        <v>12595.5728999999</v>
      </c>
      <c r="AC41">
        <f t="shared" si="19"/>
        <v>1640.25</v>
      </c>
      <c r="AD41">
        <f t="shared" si="20"/>
        <v>20258.6828889999</v>
      </c>
      <c r="AE41">
        <f t="shared" si="21"/>
        <v>46539.8643609999</v>
      </c>
      <c r="AF41">
        <f t="shared" si="22"/>
        <v>112532.069764</v>
      </c>
      <c r="AG41">
        <f t="shared" si="3"/>
        <v>1038106.265625</v>
      </c>
      <c r="AI41">
        <f t="shared" si="23"/>
        <v>2924285.87995392</v>
      </c>
      <c r="AJ41">
        <f t="shared" si="24"/>
        <v>1909109.00154196</v>
      </c>
      <c r="AK41">
        <f t="shared" si="25"/>
        <v>2092359.357001</v>
      </c>
      <c r="AL41">
        <f t="shared" si="26"/>
        <v>4622414.0004</v>
      </c>
      <c r="AM41">
        <f t="shared" si="27"/>
        <v>4319123.0625</v>
      </c>
      <c r="AN41">
        <f t="shared" si="28"/>
        <v>4752761.886889</v>
      </c>
      <c r="AO41">
        <f t="shared" si="29"/>
        <v>3319753.236361</v>
      </c>
      <c r="AP41">
        <f t="shared" si="30"/>
        <v>2897798.053264</v>
      </c>
    </row>
    <row r="42" spans="1:42">
      <c r="A42">
        <v>1</v>
      </c>
      <c r="B42">
        <v>18</v>
      </c>
      <c r="C42">
        <v>80</v>
      </c>
      <c r="D42">
        <v>45</v>
      </c>
      <c r="E42">
        <v>60</v>
      </c>
      <c r="F42">
        <v>5767</v>
      </c>
      <c r="G42">
        <f t="shared" si="5"/>
        <v>5487.08745</v>
      </c>
      <c r="H42">
        <f t="shared" si="6"/>
        <v>4990.18288676726</v>
      </c>
      <c r="I42">
        <v>5415.695</v>
      </c>
      <c r="J42">
        <v>5877.35</v>
      </c>
      <c r="K42">
        <v>6379.8</v>
      </c>
      <c r="L42">
        <v>6456.8</v>
      </c>
      <c r="M42">
        <v>5804.54</v>
      </c>
      <c r="N42">
        <v>5801.466</v>
      </c>
      <c r="P42">
        <f t="shared" si="7"/>
        <v>279.91255</v>
      </c>
      <c r="Q42">
        <f t="shared" si="8"/>
        <v>776.817113232735</v>
      </c>
      <c r="R42">
        <f t="shared" si="9"/>
        <v>351.305</v>
      </c>
      <c r="S42">
        <f t="shared" si="10"/>
        <v>110.35</v>
      </c>
      <c r="T42">
        <f t="shared" si="11"/>
        <v>612.8</v>
      </c>
      <c r="U42">
        <f t="shared" si="12"/>
        <v>689.8</v>
      </c>
      <c r="V42">
        <f t="shared" si="13"/>
        <v>37.54</v>
      </c>
      <c r="W42">
        <f t="shared" si="14"/>
        <v>34.4660000000003</v>
      </c>
      <c r="X42">
        <f t="shared" si="1"/>
        <v>1510.875</v>
      </c>
      <c r="Y42">
        <f t="shared" si="15"/>
        <v>78351.0356475025</v>
      </c>
      <c r="Z42">
        <f t="shared" si="16"/>
        <v>603444.82741124</v>
      </c>
      <c r="AA42">
        <f t="shared" si="17"/>
        <v>123415.203025</v>
      </c>
      <c r="AB42">
        <f t="shared" si="18"/>
        <v>12177.1225000001</v>
      </c>
      <c r="AC42">
        <f t="shared" si="19"/>
        <v>375523.84</v>
      </c>
      <c r="AD42">
        <f t="shared" si="20"/>
        <v>475824.04</v>
      </c>
      <c r="AE42">
        <f t="shared" si="21"/>
        <v>1409.2516</v>
      </c>
      <c r="AF42">
        <f t="shared" si="22"/>
        <v>1187.90515600002</v>
      </c>
      <c r="AG42">
        <f t="shared" si="3"/>
        <v>2282743.265625</v>
      </c>
      <c r="AI42">
        <f t="shared" si="23"/>
        <v>7517672.6022225</v>
      </c>
      <c r="AJ42">
        <f t="shared" si="24"/>
        <v>5039723.66608921</v>
      </c>
      <c r="AK42">
        <f t="shared" si="25"/>
        <v>7131276.498025</v>
      </c>
      <c r="AL42">
        <f t="shared" si="26"/>
        <v>9810050.41</v>
      </c>
      <c r="AM42">
        <f t="shared" si="27"/>
        <v>13209953.7025</v>
      </c>
      <c r="AN42">
        <f t="shared" si="28"/>
        <v>13775603.4025</v>
      </c>
      <c r="AO42">
        <f t="shared" si="29"/>
        <v>9359255.3041</v>
      </c>
      <c r="AP42">
        <f t="shared" si="30"/>
        <v>9340456.238656</v>
      </c>
    </row>
    <row r="43" spans="1:42">
      <c r="A43">
        <v>1</v>
      </c>
      <c r="B43">
        <v>18</v>
      </c>
      <c r="C43">
        <v>20</v>
      </c>
      <c r="D43">
        <v>15</v>
      </c>
      <c r="E43">
        <v>120</v>
      </c>
      <c r="F43">
        <v>5896</v>
      </c>
      <c r="G43">
        <f t="shared" si="5"/>
        <v>6736.40415</v>
      </c>
      <c r="H43">
        <f t="shared" si="6"/>
        <v>6144.19707019546</v>
      </c>
      <c r="I43">
        <v>6581.162</v>
      </c>
      <c r="J43">
        <v>6246.954</v>
      </c>
      <c r="K43">
        <v>6602</v>
      </c>
      <c r="L43">
        <v>5040.2</v>
      </c>
      <c r="M43">
        <v>6095.658</v>
      </c>
      <c r="N43">
        <v>6340.834</v>
      </c>
      <c r="P43">
        <f t="shared" si="7"/>
        <v>840.404149999999</v>
      </c>
      <c r="Q43">
        <f t="shared" si="8"/>
        <v>248.197070195462</v>
      </c>
      <c r="R43">
        <f t="shared" si="9"/>
        <v>685.162</v>
      </c>
      <c r="S43">
        <f t="shared" si="10"/>
        <v>350.954</v>
      </c>
      <c r="T43">
        <f t="shared" si="11"/>
        <v>706</v>
      </c>
      <c r="U43">
        <f t="shared" si="12"/>
        <v>855.8</v>
      </c>
      <c r="V43">
        <f t="shared" si="13"/>
        <v>199.658</v>
      </c>
      <c r="W43">
        <f t="shared" si="14"/>
        <v>444.834</v>
      </c>
      <c r="X43">
        <f t="shared" si="1"/>
        <v>1639.875</v>
      </c>
      <c r="Y43">
        <f t="shared" si="15"/>
        <v>706279.135337221</v>
      </c>
      <c r="Z43">
        <f t="shared" si="16"/>
        <v>61601.7856536113</v>
      </c>
      <c r="AA43">
        <f t="shared" si="17"/>
        <v>469446.966244</v>
      </c>
      <c r="AB43">
        <f t="shared" si="18"/>
        <v>123168.710116</v>
      </c>
      <c r="AC43">
        <f t="shared" si="19"/>
        <v>498436</v>
      </c>
      <c r="AD43">
        <f t="shared" si="20"/>
        <v>732393.64</v>
      </c>
      <c r="AE43">
        <f t="shared" si="21"/>
        <v>39863.3169640001</v>
      </c>
      <c r="AF43">
        <f t="shared" si="22"/>
        <v>197877.287556</v>
      </c>
      <c r="AG43">
        <f t="shared" si="3"/>
        <v>2689190.015625</v>
      </c>
      <c r="AI43">
        <f t="shared" si="23"/>
        <v>16975670.2197622</v>
      </c>
      <c r="AJ43">
        <f t="shared" si="24"/>
        <v>12446410.5301007</v>
      </c>
      <c r="AK43">
        <f t="shared" si="25"/>
        <v>15720527.167744</v>
      </c>
      <c r="AL43">
        <f t="shared" si="26"/>
        <v>13182011.535616</v>
      </c>
      <c r="AM43">
        <f t="shared" si="27"/>
        <v>15886203.0625</v>
      </c>
      <c r="AN43">
        <f t="shared" si="28"/>
        <v>5875533.6025</v>
      </c>
      <c r="AO43">
        <f t="shared" si="29"/>
        <v>12106280.030464</v>
      </c>
      <c r="AP43">
        <f t="shared" si="30"/>
        <v>13872525.973056</v>
      </c>
    </row>
    <row r="44" spans="1:42">
      <c r="A44">
        <v>1</v>
      </c>
      <c r="B44">
        <v>18</v>
      </c>
      <c r="C44">
        <v>45</v>
      </c>
      <c r="D44">
        <v>15</v>
      </c>
      <c r="E44">
        <v>120</v>
      </c>
      <c r="F44">
        <v>9165</v>
      </c>
      <c r="G44">
        <f t="shared" si="5"/>
        <v>7636.04265</v>
      </c>
      <c r="H44">
        <f t="shared" si="6"/>
        <v>8309.64631752688</v>
      </c>
      <c r="I44">
        <v>8323.474</v>
      </c>
      <c r="J44">
        <v>8710.879</v>
      </c>
      <c r="K44">
        <v>9074</v>
      </c>
      <c r="L44">
        <v>8914.6</v>
      </c>
      <c r="M44">
        <v>9562.24</v>
      </c>
      <c r="N44">
        <v>9056.656</v>
      </c>
      <c r="P44">
        <f t="shared" si="7"/>
        <v>1528.95735</v>
      </c>
      <c r="Q44">
        <f t="shared" si="8"/>
        <v>855.35368247312</v>
      </c>
      <c r="R44">
        <f t="shared" si="9"/>
        <v>841.526</v>
      </c>
      <c r="S44">
        <f t="shared" si="10"/>
        <v>454.120999999999</v>
      </c>
      <c r="T44">
        <f t="shared" si="11"/>
        <v>91</v>
      </c>
      <c r="U44">
        <f t="shared" si="12"/>
        <v>250.4</v>
      </c>
      <c r="V44">
        <f t="shared" si="13"/>
        <v>397.24</v>
      </c>
      <c r="W44">
        <f t="shared" si="14"/>
        <v>108.343999999999</v>
      </c>
      <c r="X44">
        <f t="shared" si="1"/>
        <v>4908.875</v>
      </c>
      <c r="Y44">
        <f t="shared" si="15"/>
        <v>2337710.57811902</v>
      </c>
      <c r="Z44">
        <f t="shared" si="16"/>
        <v>731629.922120327</v>
      </c>
      <c r="AA44">
        <f t="shared" si="17"/>
        <v>708166.008676</v>
      </c>
      <c r="AB44">
        <f t="shared" si="18"/>
        <v>206225.882640999</v>
      </c>
      <c r="AC44">
        <f t="shared" si="19"/>
        <v>8281</v>
      </c>
      <c r="AD44">
        <f t="shared" si="20"/>
        <v>62700.1599999998</v>
      </c>
      <c r="AE44">
        <f t="shared" si="21"/>
        <v>157799.6176</v>
      </c>
      <c r="AF44">
        <f t="shared" si="22"/>
        <v>11738.4223359998</v>
      </c>
      <c r="AG44">
        <f t="shared" si="3"/>
        <v>24097053.765625</v>
      </c>
      <c r="AI44">
        <f t="shared" si="23"/>
        <v>68704083.594694</v>
      </c>
      <c r="AJ44">
        <f t="shared" si="24"/>
        <v>80324547.7524194</v>
      </c>
      <c r="AK44">
        <f t="shared" si="25"/>
        <v>80572597.298176</v>
      </c>
      <c r="AL44">
        <f t="shared" si="26"/>
        <v>87677548.049641</v>
      </c>
      <c r="AM44">
        <f t="shared" si="27"/>
        <v>94609665.5625</v>
      </c>
      <c r="AN44">
        <f t="shared" si="28"/>
        <v>91534186.0225</v>
      </c>
      <c r="AO44">
        <f t="shared" si="29"/>
        <v>104346020.7001</v>
      </c>
      <c r="AP44">
        <f t="shared" si="30"/>
        <v>94272564.872836</v>
      </c>
    </row>
    <row r="45" spans="1:42">
      <c r="A45">
        <v>1</v>
      </c>
      <c r="B45">
        <v>18</v>
      </c>
      <c r="C45">
        <v>80</v>
      </c>
      <c r="D45">
        <v>15</v>
      </c>
      <c r="E45">
        <v>120</v>
      </c>
      <c r="F45">
        <v>9987</v>
      </c>
      <c r="G45">
        <f t="shared" si="5"/>
        <v>8895.53655</v>
      </c>
      <c r="H45">
        <f t="shared" si="6"/>
        <v>10294.6554741666</v>
      </c>
      <c r="I45">
        <v>9656.477</v>
      </c>
      <c r="J45">
        <v>9751.109</v>
      </c>
      <c r="K45">
        <v>9902</v>
      </c>
      <c r="L45">
        <v>9853.824</v>
      </c>
      <c r="M45">
        <v>9950.597</v>
      </c>
      <c r="N45">
        <v>10331.104</v>
      </c>
      <c r="P45">
        <f t="shared" si="7"/>
        <v>1091.46345</v>
      </c>
      <c r="Q45">
        <f t="shared" si="8"/>
        <v>307.655474166577</v>
      </c>
      <c r="R45">
        <f t="shared" si="9"/>
        <v>330.522999999999</v>
      </c>
      <c r="S45">
        <f t="shared" si="10"/>
        <v>235.891</v>
      </c>
      <c r="T45">
        <f t="shared" si="11"/>
        <v>85</v>
      </c>
      <c r="U45">
        <f t="shared" si="12"/>
        <v>133.175999999999</v>
      </c>
      <c r="V45">
        <f t="shared" si="13"/>
        <v>36.4030000000002</v>
      </c>
      <c r="W45">
        <f t="shared" si="14"/>
        <v>344.103999999999</v>
      </c>
      <c r="X45">
        <f t="shared" si="1"/>
        <v>5730.875</v>
      </c>
      <c r="Y45">
        <f t="shared" si="15"/>
        <v>1191292.4626859</v>
      </c>
      <c r="Z45">
        <f t="shared" si="16"/>
        <v>94651.8907846612</v>
      </c>
      <c r="AA45">
        <f t="shared" si="17"/>
        <v>109245.453528999</v>
      </c>
      <c r="AB45">
        <f t="shared" si="18"/>
        <v>55644.5638809998</v>
      </c>
      <c r="AC45">
        <f t="shared" si="19"/>
        <v>7225</v>
      </c>
      <c r="AD45">
        <f t="shared" si="20"/>
        <v>17735.8469759999</v>
      </c>
      <c r="AE45">
        <f t="shared" si="21"/>
        <v>1325.17840900002</v>
      </c>
      <c r="AF45">
        <f t="shared" si="22"/>
        <v>118407.562816</v>
      </c>
      <c r="AG45">
        <f t="shared" si="3"/>
        <v>32842928.265625</v>
      </c>
      <c r="AI45">
        <f t="shared" si="23"/>
        <v>107542843.129111</v>
      </c>
      <c r="AJ45">
        <f t="shared" si="24"/>
        <v>138518905.215342</v>
      </c>
      <c r="AK45">
        <f t="shared" si="25"/>
        <v>123904214.525529</v>
      </c>
      <c r="AL45">
        <f t="shared" si="26"/>
        <v>126019910.287881</v>
      </c>
      <c r="AM45">
        <f t="shared" si="27"/>
        <v>129430440.5625</v>
      </c>
      <c r="AN45">
        <f t="shared" si="28"/>
        <v>128336588.873476</v>
      </c>
      <c r="AO45">
        <f t="shared" si="29"/>
        <v>130538554.070409</v>
      </c>
      <c r="AP45">
        <f t="shared" si="30"/>
        <v>139378188.669316</v>
      </c>
    </row>
    <row r="46" spans="1:42">
      <c r="A46">
        <v>1</v>
      </c>
      <c r="B46">
        <v>18</v>
      </c>
      <c r="C46">
        <v>90</v>
      </c>
      <c r="D46">
        <v>15</v>
      </c>
      <c r="E46">
        <v>120</v>
      </c>
      <c r="F46">
        <v>10058</v>
      </c>
      <c r="G46">
        <f t="shared" si="5"/>
        <v>9255.39195</v>
      </c>
      <c r="H46">
        <f t="shared" si="6"/>
        <v>10756.1259587721</v>
      </c>
      <c r="I46">
        <v>9998.242</v>
      </c>
      <c r="J46">
        <v>9932.25</v>
      </c>
      <c r="K46">
        <v>10150.667</v>
      </c>
      <c r="L46">
        <v>9853.824</v>
      </c>
      <c r="M46">
        <v>10077.82</v>
      </c>
      <c r="N46">
        <v>10275.006</v>
      </c>
      <c r="P46">
        <f t="shared" si="7"/>
        <v>802.608049999999</v>
      </c>
      <c r="Q46">
        <f t="shared" si="8"/>
        <v>698.125958772103</v>
      </c>
      <c r="R46">
        <f t="shared" si="9"/>
        <v>59.7579999999998</v>
      </c>
      <c r="S46">
        <f t="shared" si="10"/>
        <v>125.75</v>
      </c>
      <c r="T46">
        <f t="shared" si="11"/>
        <v>92.6669999999995</v>
      </c>
      <c r="U46">
        <f t="shared" si="12"/>
        <v>204.175999999999</v>
      </c>
      <c r="V46">
        <f t="shared" si="13"/>
        <v>19.8199999999997</v>
      </c>
      <c r="W46">
        <f t="shared" si="14"/>
        <v>217.005999999999</v>
      </c>
      <c r="X46">
        <f t="shared" si="1"/>
        <v>5801.875</v>
      </c>
      <c r="Y46">
        <f t="shared" si="15"/>
        <v>644179.681924801</v>
      </c>
      <c r="Z46">
        <f t="shared" si="16"/>
        <v>487379.854311469</v>
      </c>
      <c r="AA46">
        <f t="shared" si="17"/>
        <v>3571.01856399998</v>
      </c>
      <c r="AB46">
        <f t="shared" si="18"/>
        <v>15813.0625</v>
      </c>
      <c r="AC46">
        <f t="shared" si="19"/>
        <v>8587.1728889999</v>
      </c>
      <c r="AD46">
        <f t="shared" si="20"/>
        <v>41687.8389759998</v>
      </c>
      <c r="AE46">
        <f t="shared" si="21"/>
        <v>392.832399999988</v>
      </c>
      <c r="AF46">
        <f t="shared" si="22"/>
        <v>47091.6040359997</v>
      </c>
      <c r="AG46">
        <f t="shared" si="3"/>
        <v>33661753.515625</v>
      </c>
      <c r="AI46">
        <f t="shared" si="23"/>
        <v>116664667.42405</v>
      </c>
      <c r="AJ46">
        <f t="shared" si="24"/>
        <v>151336152.105015</v>
      </c>
      <c r="AK46">
        <f t="shared" si="25"/>
        <v>133263751.296064</v>
      </c>
      <c r="AL46">
        <f t="shared" si="26"/>
        <v>131744484</v>
      </c>
      <c r="AM46">
        <f t="shared" si="27"/>
        <v>136806170.637889</v>
      </c>
      <c r="AN46">
        <f t="shared" si="28"/>
        <v>129950287.381476</v>
      </c>
      <c r="AO46">
        <f t="shared" si="29"/>
        <v>135107379.5449</v>
      </c>
      <c r="AP46">
        <f t="shared" si="30"/>
        <v>139730272.411536</v>
      </c>
    </row>
    <row r="47" spans="1:42">
      <c r="A47">
        <v>1</v>
      </c>
      <c r="B47">
        <v>18</v>
      </c>
      <c r="C47">
        <v>30</v>
      </c>
      <c r="D47">
        <v>45</v>
      </c>
      <c r="E47">
        <v>120</v>
      </c>
      <c r="F47">
        <v>2375</v>
      </c>
      <c r="G47">
        <f t="shared" si="5"/>
        <v>3825.84525</v>
      </c>
      <c r="H47">
        <f t="shared" si="6"/>
        <v>3616.46813620106</v>
      </c>
      <c r="I47">
        <v>2725.272</v>
      </c>
      <c r="J47">
        <v>2643.385</v>
      </c>
      <c r="K47">
        <v>2520</v>
      </c>
      <c r="L47">
        <v>2814.5</v>
      </c>
      <c r="M47">
        <v>1947.731</v>
      </c>
      <c r="N47">
        <v>2401.976</v>
      </c>
      <c r="P47">
        <f t="shared" si="7"/>
        <v>1450.84525</v>
      </c>
      <c r="Q47">
        <f t="shared" si="8"/>
        <v>1241.46813620106</v>
      </c>
      <c r="R47">
        <f t="shared" si="9"/>
        <v>350.272</v>
      </c>
      <c r="S47">
        <f t="shared" si="10"/>
        <v>268.385</v>
      </c>
      <c r="T47">
        <f t="shared" si="11"/>
        <v>145</v>
      </c>
      <c r="U47">
        <f t="shared" si="12"/>
        <v>439.5</v>
      </c>
      <c r="V47">
        <f t="shared" si="13"/>
        <v>427.269</v>
      </c>
      <c r="W47">
        <f t="shared" si="14"/>
        <v>26.9760000000001</v>
      </c>
      <c r="X47">
        <f t="shared" si="1"/>
        <v>1881.125</v>
      </c>
      <c r="Y47">
        <f t="shared" si="15"/>
        <v>2104951.93944756</v>
      </c>
      <c r="Z47">
        <f t="shared" si="16"/>
        <v>1541243.13320254</v>
      </c>
      <c r="AA47">
        <f t="shared" si="17"/>
        <v>122690.473984</v>
      </c>
      <c r="AB47">
        <f t="shared" si="18"/>
        <v>72030.5082250001</v>
      </c>
      <c r="AC47">
        <f t="shared" si="19"/>
        <v>21025</v>
      </c>
      <c r="AD47">
        <f t="shared" si="20"/>
        <v>193160.25</v>
      </c>
      <c r="AE47">
        <f t="shared" si="21"/>
        <v>182558.798361</v>
      </c>
      <c r="AF47">
        <f t="shared" si="22"/>
        <v>727.704576000006</v>
      </c>
      <c r="AG47">
        <f t="shared" si="3"/>
        <v>3538631.265625</v>
      </c>
      <c r="AI47">
        <f t="shared" si="23"/>
        <v>5342591.91832257</v>
      </c>
      <c r="AJ47">
        <f t="shared" si="24"/>
        <v>6354341.20485765</v>
      </c>
      <c r="AK47">
        <f t="shared" si="25"/>
        <v>11641593.872484</v>
      </c>
      <c r="AL47">
        <f t="shared" si="26"/>
        <v>12207092.638225</v>
      </c>
      <c r="AM47">
        <f t="shared" si="27"/>
        <v>13084497.5625</v>
      </c>
      <c r="AN47">
        <f t="shared" si="28"/>
        <v>11040667.5625</v>
      </c>
      <c r="AO47">
        <f t="shared" si="29"/>
        <v>17552069.451361</v>
      </c>
      <c r="AP47">
        <f t="shared" si="30"/>
        <v>13952271.855076</v>
      </c>
    </row>
    <row r="48" spans="1:42">
      <c r="A48">
        <v>1</v>
      </c>
      <c r="B48">
        <v>18</v>
      </c>
      <c r="C48">
        <v>65</v>
      </c>
      <c r="D48">
        <v>45</v>
      </c>
      <c r="E48">
        <v>120</v>
      </c>
      <c r="F48">
        <v>5575</v>
      </c>
      <c r="G48">
        <f t="shared" si="5"/>
        <v>5085.33915</v>
      </c>
      <c r="H48">
        <f t="shared" si="6"/>
        <v>4822.80719819196</v>
      </c>
      <c r="I48">
        <v>4922.663</v>
      </c>
      <c r="J48">
        <v>5660.438</v>
      </c>
      <c r="K48">
        <v>5621</v>
      </c>
      <c r="L48">
        <v>5417.333</v>
      </c>
      <c r="M48">
        <v>5332.387</v>
      </c>
      <c r="N48">
        <v>5102.596</v>
      </c>
      <c r="P48">
        <f t="shared" si="7"/>
        <v>489.660850000001</v>
      </c>
      <c r="Q48">
        <f t="shared" si="8"/>
        <v>752.192801808043</v>
      </c>
      <c r="R48">
        <f t="shared" si="9"/>
        <v>652.337</v>
      </c>
      <c r="S48">
        <f t="shared" si="10"/>
        <v>85.4380000000001</v>
      </c>
      <c r="T48">
        <f t="shared" si="11"/>
        <v>46</v>
      </c>
      <c r="U48">
        <f t="shared" si="12"/>
        <v>157.667</v>
      </c>
      <c r="V48">
        <f t="shared" si="13"/>
        <v>242.613</v>
      </c>
      <c r="W48">
        <f t="shared" si="14"/>
        <v>472.404</v>
      </c>
      <c r="X48">
        <f t="shared" si="1"/>
        <v>1318.875</v>
      </c>
      <c r="Y48">
        <f t="shared" si="15"/>
        <v>239767.748022724</v>
      </c>
      <c r="Z48">
        <f t="shared" si="16"/>
        <v>565794.011091835</v>
      </c>
      <c r="AA48">
        <f t="shared" si="17"/>
        <v>425543.561569001</v>
      </c>
      <c r="AB48">
        <f t="shared" si="18"/>
        <v>7299.65184400002</v>
      </c>
      <c r="AC48">
        <f t="shared" si="19"/>
        <v>2116</v>
      </c>
      <c r="AD48">
        <f t="shared" si="20"/>
        <v>24858.8828890001</v>
      </c>
      <c r="AE48">
        <f t="shared" si="21"/>
        <v>58861.0677690001</v>
      </c>
      <c r="AF48">
        <f t="shared" si="22"/>
        <v>223165.539216</v>
      </c>
      <c r="AG48">
        <f t="shared" si="3"/>
        <v>1739431.265625</v>
      </c>
      <c r="AI48">
        <f t="shared" si="23"/>
        <v>4614286.99634772</v>
      </c>
      <c r="AJ48">
        <f t="shared" si="24"/>
        <v>3555325.9476535</v>
      </c>
      <c r="AK48">
        <f t="shared" si="25"/>
        <v>3941864.780569</v>
      </c>
      <c r="AL48">
        <f t="shared" si="26"/>
        <v>7415752.883344</v>
      </c>
      <c r="AM48">
        <f t="shared" si="27"/>
        <v>7202514.0625</v>
      </c>
      <c r="AN48">
        <f t="shared" si="28"/>
        <v>6150811.686889</v>
      </c>
      <c r="AO48">
        <f t="shared" si="29"/>
        <v>5736681.248769</v>
      </c>
      <c r="AP48">
        <f t="shared" si="30"/>
        <v>4688723.299716</v>
      </c>
    </row>
    <row r="49" spans="1:42">
      <c r="A49">
        <v>1</v>
      </c>
      <c r="B49">
        <v>18</v>
      </c>
      <c r="C49">
        <v>85</v>
      </c>
      <c r="D49">
        <v>45</v>
      </c>
      <c r="E49">
        <v>120</v>
      </c>
      <c r="F49">
        <v>6565</v>
      </c>
      <c r="G49">
        <f t="shared" si="5"/>
        <v>5805.04995</v>
      </c>
      <c r="H49">
        <f t="shared" si="6"/>
        <v>5329.3577486671</v>
      </c>
      <c r="I49">
        <v>5898.59</v>
      </c>
      <c r="J49">
        <v>6684.256</v>
      </c>
      <c r="K49">
        <v>6675.5</v>
      </c>
      <c r="L49">
        <v>6456.8</v>
      </c>
      <c r="M49">
        <v>6233.653</v>
      </c>
      <c r="N49">
        <v>6246.463</v>
      </c>
      <c r="P49">
        <f t="shared" si="7"/>
        <v>759.95005</v>
      </c>
      <c r="Q49">
        <f t="shared" si="8"/>
        <v>1235.6422513329</v>
      </c>
      <c r="R49">
        <f t="shared" si="9"/>
        <v>666.41</v>
      </c>
      <c r="S49">
        <f t="shared" si="10"/>
        <v>119.256</v>
      </c>
      <c r="T49">
        <f t="shared" si="11"/>
        <v>110.5</v>
      </c>
      <c r="U49">
        <f t="shared" si="12"/>
        <v>108.2</v>
      </c>
      <c r="V49">
        <f t="shared" si="13"/>
        <v>331.347</v>
      </c>
      <c r="W49">
        <f t="shared" si="14"/>
        <v>318.537</v>
      </c>
      <c r="X49">
        <f t="shared" si="1"/>
        <v>2308.875</v>
      </c>
      <c r="Y49">
        <f t="shared" si="15"/>
        <v>577524.078495003</v>
      </c>
      <c r="Z49">
        <f t="shared" si="16"/>
        <v>1526811.77327903</v>
      </c>
      <c r="AA49">
        <f t="shared" si="17"/>
        <v>444102.2881</v>
      </c>
      <c r="AB49">
        <f t="shared" si="18"/>
        <v>14221.9935360001</v>
      </c>
      <c r="AC49">
        <f t="shared" si="19"/>
        <v>12210.25</v>
      </c>
      <c r="AD49">
        <f t="shared" si="20"/>
        <v>11707.24</v>
      </c>
      <c r="AE49">
        <f t="shared" si="21"/>
        <v>109790.834409</v>
      </c>
      <c r="AF49">
        <f t="shared" si="22"/>
        <v>101465.820369</v>
      </c>
      <c r="AG49">
        <f t="shared" si="3"/>
        <v>5330903.765625</v>
      </c>
      <c r="AI49">
        <f t="shared" si="23"/>
        <v>14882620.45422</v>
      </c>
      <c r="AJ49">
        <f t="shared" si="24"/>
        <v>11438652.823594</v>
      </c>
      <c r="AK49">
        <f t="shared" si="25"/>
        <v>15613087.7956</v>
      </c>
      <c r="AL49">
        <f t="shared" si="26"/>
        <v>22439225.844036</v>
      </c>
      <c r="AM49">
        <f t="shared" si="27"/>
        <v>22356348.0625</v>
      </c>
      <c r="AN49">
        <f t="shared" si="28"/>
        <v>20336041.2025</v>
      </c>
      <c r="AO49">
        <f t="shared" si="29"/>
        <v>18373250.678409</v>
      </c>
      <c r="AP49">
        <f t="shared" si="30"/>
        <v>18483232.419369</v>
      </c>
    </row>
    <row r="50" spans="1:42">
      <c r="A50">
        <v>2</v>
      </c>
      <c r="B50">
        <v>9</v>
      </c>
      <c r="C50">
        <v>5</v>
      </c>
      <c r="D50">
        <v>15</v>
      </c>
      <c r="E50">
        <v>60</v>
      </c>
      <c r="F50">
        <v>2037</v>
      </c>
      <c r="G50">
        <f t="shared" si="5"/>
        <v>1071.1708</v>
      </c>
      <c r="H50">
        <f t="shared" si="6"/>
        <v>816.911965034833</v>
      </c>
      <c r="I50">
        <v>1828.946</v>
      </c>
      <c r="J50">
        <v>1924.718</v>
      </c>
      <c r="K50">
        <v>2150.556</v>
      </c>
      <c r="L50">
        <v>2141.5</v>
      </c>
      <c r="M50">
        <v>2136.65</v>
      </c>
      <c r="N50">
        <v>2046.663</v>
      </c>
      <c r="P50">
        <f t="shared" si="7"/>
        <v>965.8292</v>
      </c>
      <c r="Q50">
        <f t="shared" si="8"/>
        <v>1220.08803496517</v>
      </c>
      <c r="R50">
        <f t="shared" si="9"/>
        <v>208.054</v>
      </c>
      <c r="S50">
        <f t="shared" si="10"/>
        <v>112.282</v>
      </c>
      <c r="T50">
        <f t="shared" si="11"/>
        <v>113.556</v>
      </c>
      <c r="U50">
        <f t="shared" si="12"/>
        <v>104.5</v>
      </c>
      <c r="V50">
        <f t="shared" si="13"/>
        <v>99.6500000000001</v>
      </c>
      <c r="W50">
        <f t="shared" si="14"/>
        <v>9.66300000000001</v>
      </c>
      <c r="X50">
        <f t="shared" si="1"/>
        <v>2219.125</v>
      </c>
      <c r="Y50">
        <f t="shared" si="15"/>
        <v>932826.04357264</v>
      </c>
      <c r="Z50">
        <f t="shared" si="16"/>
        <v>1488614.81306516</v>
      </c>
      <c r="AA50">
        <f t="shared" si="17"/>
        <v>43286.466916</v>
      </c>
      <c r="AB50">
        <f t="shared" si="18"/>
        <v>12607.247524</v>
      </c>
      <c r="AC50">
        <f t="shared" si="19"/>
        <v>12894.965136</v>
      </c>
      <c r="AD50">
        <f t="shared" si="20"/>
        <v>10920.25</v>
      </c>
      <c r="AE50">
        <f t="shared" si="21"/>
        <v>9930.12250000002</v>
      </c>
      <c r="AF50">
        <f t="shared" si="22"/>
        <v>93.3735690000002</v>
      </c>
      <c r="AG50">
        <f t="shared" si="3"/>
        <v>4924515.765625</v>
      </c>
      <c r="AI50">
        <f t="shared" si="23"/>
        <v>29204071.9998726</v>
      </c>
      <c r="AJ50">
        <f t="shared" si="24"/>
        <v>32016789.3179335</v>
      </c>
      <c r="AK50">
        <f t="shared" si="25"/>
        <v>21588140.860416</v>
      </c>
      <c r="AL50">
        <f t="shared" si="26"/>
        <v>20707341.483024</v>
      </c>
      <c r="AM50">
        <f t="shared" si="27"/>
        <v>18702978.193636</v>
      </c>
      <c r="AN50">
        <f t="shared" si="28"/>
        <v>18781389.0625</v>
      </c>
      <c r="AO50">
        <f t="shared" si="29"/>
        <v>18823449.96</v>
      </c>
      <c r="AP50">
        <f t="shared" si="30"/>
        <v>19612382.816569</v>
      </c>
    </row>
    <row r="51" spans="1:42">
      <c r="A51">
        <v>2</v>
      </c>
      <c r="B51">
        <v>9</v>
      </c>
      <c r="C51">
        <v>30</v>
      </c>
      <c r="D51">
        <v>15</v>
      </c>
      <c r="E51">
        <v>60</v>
      </c>
      <c r="F51">
        <v>2126</v>
      </c>
      <c r="G51">
        <f t="shared" si="5"/>
        <v>1970.8093</v>
      </c>
      <c r="H51">
        <f t="shared" si="6"/>
        <v>1591.77118378006</v>
      </c>
      <c r="I51">
        <v>2122.466</v>
      </c>
      <c r="J51">
        <v>2159.69</v>
      </c>
      <c r="K51">
        <v>2150.556</v>
      </c>
      <c r="L51">
        <v>2141.5</v>
      </c>
      <c r="M51">
        <v>2126.465</v>
      </c>
      <c r="N51">
        <v>2131.302</v>
      </c>
      <c r="P51">
        <f t="shared" si="7"/>
        <v>155.190700000001</v>
      </c>
      <c r="Q51">
        <f t="shared" si="8"/>
        <v>534.228816219938</v>
      </c>
      <c r="R51">
        <f t="shared" si="9"/>
        <v>3.53400000000011</v>
      </c>
      <c r="S51">
        <f t="shared" si="10"/>
        <v>33.6900000000001</v>
      </c>
      <c r="T51">
        <f t="shared" si="11"/>
        <v>24.556</v>
      </c>
      <c r="U51">
        <f t="shared" si="12"/>
        <v>15.5</v>
      </c>
      <c r="V51">
        <f t="shared" si="13"/>
        <v>0.465000000000146</v>
      </c>
      <c r="W51">
        <f t="shared" si="14"/>
        <v>5.30200000000013</v>
      </c>
      <c r="X51">
        <f t="shared" si="1"/>
        <v>2130.125</v>
      </c>
      <c r="Y51">
        <f t="shared" si="15"/>
        <v>24084.1533664902</v>
      </c>
      <c r="Z51">
        <f t="shared" si="16"/>
        <v>285400.428079756</v>
      </c>
      <c r="AA51">
        <f t="shared" si="17"/>
        <v>12.4891560000007</v>
      </c>
      <c r="AB51">
        <f t="shared" si="18"/>
        <v>1135.0161</v>
      </c>
      <c r="AC51">
        <f t="shared" si="19"/>
        <v>602.997136000002</v>
      </c>
      <c r="AD51">
        <f t="shared" si="20"/>
        <v>240.25</v>
      </c>
      <c r="AE51">
        <f t="shared" si="21"/>
        <v>0.216225000000135</v>
      </c>
      <c r="AF51">
        <f t="shared" si="22"/>
        <v>28.1112040000014</v>
      </c>
      <c r="AG51">
        <f t="shared" si="3"/>
        <v>4537432.515625</v>
      </c>
      <c r="AI51">
        <f t="shared" si="23"/>
        <v>19496116.5752165</v>
      </c>
      <c r="AJ51">
        <f t="shared" si="24"/>
        <v>22987027.1191817</v>
      </c>
      <c r="AK51">
        <f t="shared" si="25"/>
        <v>18179853.998656</v>
      </c>
      <c r="AL51">
        <f t="shared" si="26"/>
        <v>17863809.4336</v>
      </c>
      <c r="AM51">
        <f t="shared" si="27"/>
        <v>17941103.661636</v>
      </c>
      <c r="AN51">
        <f t="shared" si="28"/>
        <v>18017902.5625</v>
      </c>
      <c r="AO51">
        <f t="shared" si="29"/>
        <v>18145768.246225</v>
      </c>
      <c r="AP51">
        <f t="shared" si="30"/>
        <v>18104582.482704</v>
      </c>
    </row>
    <row r="52" spans="1:42">
      <c r="A52">
        <v>2</v>
      </c>
      <c r="B52">
        <v>9</v>
      </c>
      <c r="C52">
        <v>70</v>
      </c>
      <c r="D52">
        <v>15</v>
      </c>
      <c r="E52">
        <v>60</v>
      </c>
      <c r="F52">
        <v>2245</v>
      </c>
      <c r="G52">
        <f t="shared" si="5"/>
        <v>3410.2309</v>
      </c>
      <c r="H52">
        <f t="shared" si="6"/>
        <v>2182.11804016466</v>
      </c>
      <c r="I52">
        <v>2592.098</v>
      </c>
      <c r="J52">
        <v>2486.316</v>
      </c>
      <c r="K52">
        <v>5658.5</v>
      </c>
      <c r="L52">
        <v>2366</v>
      </c>
      <c r="M52">
        <v>2246.841</v>
      </c>
      <c r="N52">
        <v>2250.275</v>
      </c>
      <c r="P52">
        <f t="shared" si="7"/>
        <v>1165.2309</v>
      </c>
      <c r="Q52">
        <f t="shared" si="8"/>
        <v>62.8819598353439</v>
      </c>
      <c r="R52">
        <f t="shared" si="9"/>
        <v>347.098</v>
      </c>
      <c r="S52">
        <f t="shared" si="10"/>
        <v>241.316</v>
      </c>
      <c r="T52">
        <f t="shared" si="11"/>
        <v>3413.5</v>
      </c>
      <c r="U52">
        <f t="shared" si="12"/>
        <v>121</v>
      </c>
      <c r="V52">
        <f t="shared" si="13"/>
        <v>1.84099999999989</v>
      </c>
      <c r="W52">
        <f t="shared" si="14"/>
        <v>5.27500000000009</v>
      </c>
      <c r="X52">
        <f t="shared" si="1"/>
        <v>2011.125</v>
      </c>
      <c r="Y52">
        <f t="shared" si="15"/>
        <v>1357763.05031481</v>
      </c>
      <c r="Z52">
        <f t="shared" si="16"/>
        <v>3954.1408727338</v>
      </c>
      <c r="AA52">
        <f t="shared" si="17"/>
        <v>120477.021604</v>
      </c>
      <c r="AB52">
        <f t="shared" si="18"/>
        <v>58233.4118559999</v>
      </c>
      <c r="AC52">
        <f t="shared" si="19"/>
        <v>11651982.25</v>
      </c>
      <c r="AD52">
        <f t="shared" si="20"/>
        <v>14641</v>
      </c>
      <c r="AE52">
        <f t="shared" si="21"/>
        <v>3.38928099999961</v>
      </c>
      <c r="AF52">
        <f t="shared" si="22"/>
        <v>27.825625000001</v>
      </c>
      <c r="AG52">
        <f t="shared" si="3"/>
        <v>4044623.765625</v>
      </c>
      <c r="AI52">
        <f t="shared" si="23"/>
        <v>8162558.13776482</v>
      </c>
      <c r="AJ52">
        <f t="shared" si="24"/>
        <v>16688303.1292682</v>
      </c>
      <c r="AK52">
        <f t="shared" si="25"/>
        <v>13506742.223104</v>
      </c>
      <c r="AL52">
        <f t="shared" si="26"/>
        <v>14295461.912356</v>
      </c>
      <c r="AM52">
        <f t="shared" si="27"/>
        <v>11651982.25</v>
      </c>
      <c r="AN52">
        <f t="shared" si="28"/>
        <v>15219751.5625</v>
      </c>
      <c r="AO52">
        <f t="shared" si="29"/>
        <v>16163688.527281</v>
      </c>
      <c r="AP52">
        <f t="shared" si="30"/>
        <v>16136088.150625</v>
      </c>
    </row>
    <row r="53" spans="1:42">
      <c r="A53">
        <v>2</v>
      </c>
      <c r="B53">
        <v>9</v>
      </c>
      <c r="C53">
        <v>75</v>
      </c>
      <c r="D53">
        <v>15</v>
      </c>
      <c r="E53">
        <v>60</v>
      </c>
      <c r="F53">
        <v>2272</v>
      </c>
      <c r="G53">
        <f t="shared" si="5"/>
        <v>3590.1586</v>
      </c>
      <c r="H53">
        <f t="shared" si="6"/>
        <v>2238.89401367581</v>
      </c>
      <c r="I53">
        <v>2650.802</v>
      </c>
      <c r="J53">
        <v>2625.346</v>
      </c>
      <c r="K53">
        <v>5658.5</v>
      </c>
      <c r="L53">
        <v>2366</v>
      </c>
      <c r="M53">
        <v>2272.993</v>
      </c>
      <c r="N53">
        <v>2267.329</v>
      </c>
      <c r="P53">
        <f t="shared" si="7"/>
        <v>1318.1586</v>
      </c>
      <c r="Q53">
        <f t="shared" si="8"/>
        <v>33.1059863241944</v>
      </c>
      <c r="R53">
        <f t="shared" si="9"/>
        <v>378.802</v>
      </c>
      <c r="S53">
        <f t="shared" si="10"/>
        <v>353.346</v>
      </c>
      <c r="T53">
        <f t="shared" si="11"/>
        <v>3386.5</v>
      </c>
      <c r="U53">
        <f t="shared" si="12"/>
        <v>94</v>
      </c>
      <c r="V53">
        <f t="shared" si="13"/>
        <v>0.992999999999938</v>
      </c>
      <c r="W53">
        <f t="shared" si="14"/>
        <v>4.67099999999982</v>
      </c>
      <c r="X53">
        <f t="shared" si="1"/>
        <v>1984.125</v>
      </c>
      <c r="Y53">
        <f t="shared" si="15"/>
        <v>1737542.09475396</v>
      </c>
      <c r="Z53">
        <f t="shared" si="16"/>
        <v>1096.00633049775</v>
      </c>
      <c r="AA53">
        <f t="shared" si="17"/>
        <v>143490.955204</v>
      </c>
      <c r="AB53">
        <f t="shared" si="18"/>
        <v>124853.395716</v>
      </c>
      <c r="AC53">
        <f t="shared" si="19"/>
        <v>11468382.25</v>
      </c>
      <c r="AD53">
        <f t="shared" si="20"/>
        <v>8836</v>
      </c>
      <c r="AE53">
        <f t="shared" si="21"/>
        <v>0.986048999999877</v>
      </c>
      <c r="AF53">
        <f t="shared" si="22"/>
        <v>21.8182409999983</v>
      </c>
      <c r="AG53">
        <f t="shared" si="3"/>
        <v>3936752.015625</v>
      </c>
      <c r="AI53">
        <f t="shared" si="23"/>
        <v>7022984.42835396</v>
      </c>
      <c r="AJ53">
        <f t="shared" si="24"/>
        <v>16010849.7292925</v>
      </c>
      <c r="AK53">
        <f t="shared" si="25"/>
        <v>12884136.944704</v>
      </c>
      <c r="AL53">
        <f t="shared" si="26"/>
        <v>13067530.929216</v>
      </c>
      <c r="AM53">
        <f t="shared" si="27"/>
        <v>11468382.25</v>
      </c>
      <c r="AN53">
        <f t="shared" si="28"/>
        <v>15009813.0625</v>
      </c>
      <c r="AO53">
        <f t="shared" si="29"/>
        <v>15739128.104049</v>
      </c>
      <c r="AP53">
        <f t="shared" si="30"/>
        <v>15784101.272241</v>
      </c>
    </row>
    <row r="54" spans="1:42">
      <c r="A54">
        <v>2</v>
      </c>
      <c r="B54">
        <v>9</v>
      </c>
      <c r="C54">
        <v>20</v>
      </c>
      <c r="D54">
        <v>45</v>
      </c>
      <c r="E54">
        <v>60</v>
      </c>
      <c r="F54">
        <v>510</v>
      </c>
      <c r="G54">
        <f t="shared" si="5"/>
        <v>-1659.4604</v>
      </c>
      <c r="H54">
        <f t="shared" si="6"/>
        <v>692.759901720693</v>
      </c>
      <c r="I54">
        <v>-72.229</v>
      </c>
      <c r="J54">
        <v>645.12</v>
      </c>
      <c r="K54">
        <v>576.333</v>
      </c>
      <c r="L54">
        <v>540.333</v>
      </c>
      <c r="M54">
        <v>484.892</v>
      </c>
      <c r="N54">
        <v>503.924</v>
      </c>
      <c r="P54">
        <f t="shared" si="7"/>
        <v>2169.4604</v>
      </c>
      <c r="Q54">
        <f t="shared" si="8"/>
        <v>182.759901720693</v>
      </c>
      <c r="R54">
        <f t="shared" si="9"/>
        <v>582.229</v>
      </c>
      <c r="S54">
        <f t="shared" si="10"/>
        <v>135.12</v>
      </c>
      <c r="T54">
        <f t="shared" si="11"/>
        <v>66.333</v>
      </c>
      <c r="U54">
        <f t="shared" si="12"/>
        <v>30.333</v>
      </c>
      <c r="V54">
        <f t="shared" si="13"/>
        <v>25.108</v>
      </c>
      <c r="W54">
        <f t="shared" si="14"/>
        <v>6.07600000000002</v>
      </c>
      <c r="X54">
        <f t="shared" si="1"/>
        <v>3746.125</v>
      </c>
      <c r="Y54">
        <f t="shared" si="15"/>
        <v>4706558.42716816</v>
      </c>
      <c r="Z54">
        <f t="shared" si="16"/>
        <v>33401.1816769573</v>
      </c>
      <c r="AA54">
        <f t="shared" si="17"/>
        <v>338990.608441</v>
      </c>
      <c r="AB54">
        <f t="shared" si="18"/>
        <v>18257.4144</v>
      </c>
      <c r="AC54">
        <f t="shared" si="19"/>
        <v>4400.066889</v>
      </c>
      <c r="AD54">
        <f t="shared" si="20"/>
        <v>920.090888999998</v>
      </c>
      <c r="AE54">
        <f t="shared" si="21"/>
        <v>630.411664</v>
      </c>
      <c r="AF54">
        <f t="shared" si="22"/>
        <v>36.9177760000003</v>
      </c>
      <c r="AG54">
        <f t="shared" si="3"/>
        <v>14033452.515625</v>
      </c>
      <c r="AI54">
        <f t="shared" si="23"/>
        <v>93348647.8534682</v>
      </c>
      <c r="AJ54">
        <f t="shared" si="24"/>
        <v>53428645.4968432</v>
      </c>
      <c r="AK54">
        <f t="shared" si="25"/>
        <v>65197211.121441</v>
      </c>
      <c r="AL54">
        <f t="shared" si="26"/>
        <v>54127361.8369</v>
      </c>
      <c r="AM54">
        <f t="shared" si="27"/>
        <v>55144243.290889</v>
      </c>
      <c r="AN54">
        <f t="shared" si="28"/>
        <v>55680205.314889</v>
      </c>
      <c r="AO54">
        <f t="shared" si="29"/>
        <v>56510671.300164</v>
      </c>
      <c r="AP54">
        <f t="shared" si="30"/>
        <v>56224892.802276</v>
      </c>
    </row>
    <row r="55" spans="1:42">
      <c r="A55">
        <v>2</v>
      </c>
      <c r="B55">
        <v>9</v>
      </c>
      <c r="C55">
        <v>50</v>
      </c>
      <c r="D55">
        <v>45</v>
      </c>
      <c r="E55">
        <v>60</v>
      </c>
      <c r="F55">
        <v>637</v>
      </c>
      <c r="G55">
        <f t="shared" si="5"/>
        <v>-579.8942</v>
      </c>
      <c r="H55">
        <f t="shared" si="6"/>
        <v>974.396328242241</v>
      </c>
      <c r="I55">
        <v>279.995</v>
      </c>
      <c r="J55">
        <v>909.234</v>
      </c>
      <c r="K55">
        <v>576.333</v>
      </c>
      <c r="L55">
        <v>718.5</v>
      </c>
      <c r="M55">
        <v>627.59</v>
      </c>
      <c r="N55">
        <v>611.068</v>
      </c>
      <c r="P55">
        <f t="shared" si="7"/>
        <v>1216.8942</v>
      </c>
      <c r="Q55">
        <f t="shared" si="8"/>
        <v>337.396328242241</v>
      </c>
      <c r="R55">
        <f t="shared" si="9"/>
        <v>357.005</v>
      </c>
      <c r="S55">
        <f t="shared" si="10"/>
        <v>272.234</v>
      </c>
      <c r="T55">
        <f t="shared" si="11"/>
        <v>60.667</v>
      </c>
      <c r="U55">
        <f t="shared" si="12"/>
        <v>81.5</v>
      </c>
      <c r="V55">
        <f t="shared" si="13"/>
        <v>9.40999999999997</v>
      </c>
      <c r="W55">
        <f t="shared" si="14"/>
        <v>25.932</v>
      </c>
      <c r="X55">
        <f t="shared" si="1"/>
        <v>3619.125</v>
      </c>
      <c r="Y55">
        <f t="shared" si="15"/>
        <v>1480831.49399364</v>
      </c>
      <c r="Z55">
        <f t="shared" si="16"/>
        <v>113836.282311346</v>
      </c>
      <c r="AA55">
        <f t="shared" si="17"/>
        <v>127452.570025</v>
      </c>
      <c r="AB55">
        <f t="shared" si="18"/>
        <v>74111.350756</v>
      </c>
      <c r="AC55">
        <f t="shared" si="19"/>
        <v>3680.484889</v>
      </c>
      <c r="AD55">
        <f t="shared" si="20"/>
        <v>6642.25</v>
      </c>
      <c r="AE55">
        <f t="shared" si="21"/>
        <v>88.5480999999994</v>
      </c>
      <c r="AF55">
        <f t="shared" si="22"/>
        <v>672.468624000001</v>
      </c>
      <c r="AG55">
        <f t="shared" si="3"/>
        <v>13098065.765625</v>
      </c>
      <c r="AI55">
        <f t="shared" si="23"/>
        <v>71489463.4427936</v>
      </c>
      <c r="AJ55">
        <f t="shared" si="24"/>
        <v>47621781.3990125</v>
      </c>
      <c r="AK55">
        <f t="shared" si="25"/>
        <v>57687898.515025</v>
      </c>
      <c r="AL55">
        <f t="shared" si="26"/>
        <v>48525378.912256</v>
      </c>
      <c r="AM55">
        <f t="shared" si="27"/>
        <v>53274189.372889</v>
      </c>
      <c r="AN55">
        <f t="shared" si="28"/>
        <v>51219070.5625</v>
      </c>
      <c r="AO55">
        <f t="shared" si="29"/>
        <v>52528575.4756</v>
      </c>
      <c r="AP55">
        <f t="shared" si="30"/>
        <v>52768340.129124</v>
      </c>
    </row>
    <row r="56" spans="1:42">
      <c r="A56">
        <v>2</v>
      </c>
      <c r="B56">
        <v>9</v>
      </c>
      <c r="C56">
        <v>60</v>
      </c>
      <c r="D56">
        <v>45</v>
      </c>
      <c r="E56">
        <v>60</v>
      </c>
      <c r="F56">
        <v>646</v>
      </c>
      <c r="G56">
        <f t="shared" si="5"/>
        <v>-220.038800000001</v>
      </c>
      <c r="H56">
        <f t="shared" si="6"/>
        <v>1042.83304175221</v>
      </c>
      <c r="I56">
        <v>397.403</v>
      </c>
      <c r="J56">
        <v>726.321</v>
      </c>
      <c r="K56">
        <v>576.333</v>
      </c>
      <c r="L56">
        <v>718.5</v>
      </c>
      <c r="M56">
        <v>640.341</v>
      </c>
      <c r="N56">
        <v>649.445</v>
      </c>
      <c r="P56">
        <f t="shared" si="7"/>
        <v>866.038800000001</v>
      </c>
      <c r="Q56">
        <f t="shared" si="8"/>
        <v>396.833041752213</v>
      </c>
      <c r="R56">
        <f t="shared" si="9"/>
        <v>248.597</v>
      </c>
      <c r="S56">
        <f t="shared" si="10"/>
        <v>80.321</v>
      </c>
      <c r="T56">
        <f t="shared" si="11"/>
        <v>69.667</v>
      </c>
      <c r="U56">
        <f t="shared" si="12"/>
        <v>72.5</v>
      </c>
      <c r="V56">
        <f t="shared" si="13"/>
        <v>5.65899999999999</v>
      </c>
      <c r="W56">
        <f t="shared" si="14"/>
        <v>3.44500000000005</v>
      </c>
      <c r="X56">
        <f t="shared" si="1"/>
        <v>3610.125</v>
      </c>
      <c r="Y56">
        <f t="shared" si="15"/>
        <v>750023.203105441</v>
      </c>
      <c r="Z56">
        <f t="shared" si="16"/>
        <v>157476.463026314</v>
      </c>
      <c r="AA56">
        <f t="shared" si="17"/>
        <v>61800.468409</v>
      </c>
      <c r="AB56">
        <f t="shared" si="18"/>
        <v>6451.463041</v>
      </c>
      <c r="AC56">
        <f t="shared" si="19"/>
        <v>4853.490889</v>
      </c>
      <c r="AD56">
        <f t="shared" si="20"/>
        <v>5256.25</v>
      </c>
      <c r="AE56">
        <f t="shared" si="21"/>
        <v>32.0242809999999</v>
      </c>
      <c r="AF56">
        <f t="shared" si="22"/>
        <v>11.8680250000003</v>
      </c>
      <c r="AG56">
        <f t="shared" si="3"/>
        <v>13033002.515625</v>
      </c>
      <c r="AI56">
        <f t="shared" si="23"/>
        <v>65388066.5570054</v>
      </c>
      <c r="AJ56">
        <f t="shared" si="24"/>
        <v>46559018.9861035</v>
      </c>
      <c r="AK56">
        <f t="shared" si="25"/>
        <v>55783675.509409</v>
      </c>
      <c r="AL56">
        <f t="shared" si="26"/>
        <v>50978586.125041</v>
      </c>
      <c r="AM56">
        <f t="shared" si="27"/>
        <v>53142889.866889</v>
      </c>
      <c r="AN56">
        <f t="shared" si="28"/>
        <v>51090330.0625</v>
      </c>
      <c r="AO56">
        <f t="shared" si="29"/>
        <v>52213760.876281</v>
      </c>
      <c r="AP56">
        <f t="shared" si="30"/>
        <v>52082274.408025</v>
      </c>
    </row>
    <row r="57" spans="1:42">
      <c r="A57">
        <v>2</v>
      </c>
      <c r="B57">
        <v>9</v>
      </c>
      <c r="C57">
        <v>105</v>
      </c>
      <c r="D57">
        <v>45</v>
      </c>
      <c r="E57">
        <v>60</v>
      </c>
      <c r="F57">
        <v>780</v>
      </c>
      <c r="G57">
        <f t="shared" si="5"/>
        <v>1399.3105</v>
      </c>
      <c r="H57">
        <f t="shared" si="6"/>
        <v>1284.39245543827</v>
      </c>
      <c r="I57">
        <v>925.739</v>
      </c>
      <c r="J57">
        <v>1160.29</v>
      </c>
      <c r="K57">
        <v>760.6</v>
      </c>
      <c r="L57">
        <v>718.5</v>
      </c>
      <c r="M57">
        <v>785.535</v>
      </c>
      <c r="N57">
        <v>805.657</v>
      </c>
      <c r="P57">
        <f t="shared" si="7"/>
        <v>619.310499999999</v>
      </c>
      <c r="Q57">
        <f t="shared" si="8"/>
        <v>504.392455438272</v>
      </c>
      <c r="R57">
        <f t="shared" si="9"/>
        <v>145.739</v>
      </c>
      <c r="S57">
        <f t="shared" si="10"/>
        <v>380.29</v>
      </c>
      <c r="T57">
        <f t="shared" si="11"/>
        <v>19.4</v>
      </c>
      <c r="U57">
        <f t="shared" si="12"/>
        <v>61.5</v>
      </c>
      <c r="V57">
        <f t="shared" si="13"/>
        <v>5.53499999999997</v>
      </c>
      <c r="W57">
        <f t="shared" si="14"/>
        <v>25.657</v>
      </c>
      <c r="X57">
        <f t="shared" si="1"/>
        <v>3476.125</v>
      </c>
      <c r="Y57">
        <f t="shared" si="15"/>
        <v>383545.495410249</v>
      </c>
      <c r="Z57">
        <f t="shared" si="16"/>
        <v>254411.749103049</v>
      </c>
      <c r="AA57">
        <f t="shared" si="17"/>
        <v>21239.856121</v>
      </c>
      <c r="AB57">
        <f t="shared" si="18"/>
        <v>144620.4841</v>
      </c>
      <c r="AC57">
        <f t="shared" si="19"/>
        <v>376.359999999999</v>
      </c>
      <c r="AD57">
        <f t="shared" si="20"/>
        <v>3782.25</v>
      </c>
      <c r="AE57">
        <f t="shared" si="21"/>
        <v>30.6362249999996</v>
      </c>
      <c r="AF57">
        <f t="shared" si="22"/>
        <v>658.281649000002</v>
      </c>
      <c r="AG57">
        <f t="shared" si="3"/>
        <v>12083445.015625</v>
      </c>
      <c r="AI57">
        <f t="shared" si="23"/>
        <v>40106122.7106603</v>
      </c>
      <c r="AJ57">
        <f t="shared" si="24"/>
        <v>41574866.9149616</v>
      </c>
      <c r="AK57">
        <f t="shared" si="25"/>
        <v>46328591.993121</v>
      </c>
      <c r="AL57">
        <f t="shared" si="26"/>
        <v>43190658.2416</v>
      </c>
      <c r="AM57">
        <f t="shared" si="27"/>
        <v>48603903.7225</v>
      </c>
      <c r="AN57">
        <f t="shared" si="28"/>
        <v>49192689.0625</v>
      </c>
      <c r="AO57">
        <f t="shared" si="29"/>
        <v>48256849.291225</v>
      </c>
      <c r="AP57">
        <f t="shared" si="30"/>
        <v>47977690.587649</v>
      </c>
    </row>
    <row r="58" spans="6:42">
      <c r="F58" t="s">
        <v>30</v>
      </c>
      <c r="G58">
        <f>CORREL($F2:$F57,G2:G57)</f>
        <v>0.923167596045021</v>
      </c>
      <c r="H58">
        <f t="shared" ref="H58:N58" si="31">CORREL($F2:$F57,H2:H57)</f>
        <v>0.973381962656688</v>
      </c>
      <c r="I58">
        <f t="shared" si="31"/>
        <v>0.981417299455434</v>
      </c>
      <c r="J58">
        <f t="shared" si="31"/>
        <v>0.996328783032118</v>
      </c>
      <c r="K58">
        <f t="shared" si="31"/>
        <v>0.977015504808039</v>
      </c>
      <c r="L58">
        <f t="shared" si="31"/>
        <v>0.988294338973003</v>
      </c>
      <c r="M58">
        <f t="shared" si="31"/>
        <v>0.997942943550502</v>
      </c>
      <c r="N58">
        <f t="shared" si="31"/>
        <v>0.996704670826898</v>
      </c>
      <c r="P58">
        <f>SUM(P2:P57)</f>
        <v>55263.91305</v>
      </c>
      <c r="Q58">
        <f t="shared" ref="Q58:Y58" si="32">SUM(Q2:Q57)</f>
        <v>31674.0908890779</v>
      </c>
      <c r="R58">
        <f t="shared" si="32"/>
        <v>25811.538</v>
      </c>
      <c r="S58">
        <f t="shared" si="32"/>
        <v>12348.919</v>
      </c>
      <c r="T58">
        <f t="shared" si="32"/>
        <v>15874.68</v>
      </c>
      <c r="U58">
        <f t="shared" si="32"/>
        <v>16632.995</v>
      </c>
      <c r="V58">
        <f t="shared" si="32"/>
        <v>7132.418</v>
      </c>
      <c r="W58">
        <f t="shared" si="32"/>
        <v>10268.67</v>
      </c>
      <c r="X58">
        <f t="shared" si="32"/>
        <v>153781.5</v>
      </c>
      <c r="Y58">
        <f t="shared" si="32"/>
        <v>82238376.4798782</v>
      </c>
      <c r="Z58">
        <f t="shared" ref="Z58:AG58" si="33">SUM(Z2:Z57)</f>
        <v>29451681.3038544</v>
      </c>
      <c r="AA58">
        <f t="shared" si="33"/>
        <v>20662033.090046</v>
      </c>
      <c r="AB58">
        <f t="shared" si="33"/>
        <v>5124746.028185</v>
      </c>
      <c r="AC58">
        <f t="shared" si="33"/>
        <v>28033122.666434</v>
      </c>
      <c r="AD58">
        <f t="shared" si="33"/>
        <v>12926211.300489</v>
      </c>
      <c r="AE58">
        <f t="shared" si="33"/>
        <v>2380525.06033</v>
      </c>
      <c r="AF58">
        <f t="shared" si="33"/>
        <v>4009247.85033</v>
      </c>
      <c r="AG58">
        <f t="shared" si="33"/>
        <v>552452100.125</v>
      </c>
      <c r="AH58">
        <f t="shared" ref="AH58" si="34">SUM(AH2:AH57)</f>
        <v>0</v>
      </c>
      <c r="AI58">
        <f t="shared" ref="AI58" si="35">SUM(AI2:AI57)</f>
        <v>2034363140.91375</v>
      </c>
      <c r="AJ58">
        <f t="shared" ref="AJ58" si="36">SUM(AJ2:AJ57)</f>
        <v>2064293954.56732</v>
      </c>
      <c r="AK58">
        <f t="shared" ref="AK58" si="37">SUM(AK2:AK57)</f>
        <v>2110470061.62905</v>
      </c>
      <c r="AL58">
        <f t="shared" ref="AL58" si="38">SUM(AL2:AL57)</f>
        <v>2123667009.40068</v>
      </c>
      <c r="AM58">
        <f t="shared" ref="AM58" si="39">SUM(AM2:AM57)</f>
        <v>2226870508.34393</v>
      </c>
      <c r="AN58">
        <f t="shared" ref="AN58" si="40">SUM(AN2:AN57)</f>
        <v>2176104189.04949</v>
      </c>
      <c r="AO58">
        <f t="shared" ref="AO58" si="41">SUM(AO2:AO57)</f>
        <v>2234170744.82433</v>
      </c>
      <c r="AP58">
        <f t="shared" ref="AP58" si="42">SUM(AP2:AP57)</f>
        <v>2255254484.93083</v>
      </c>
    </row>
    <row r="59" spans="6:33">
      <c r="F59" t="s">
        <v>31</v>
      </c>
      <c r="G59">
        <v>0.851139354052106</v>
      </c>
      <c r="H59">
        <v>0.946689167627038</v>
      </c>
      <c r="I59">
        <v>0.962599412536633</v>
      </c>
      <c r="J59">
        <v>0.990723637348785</v>
      </c>
      <c r="K59">
        <v>0.949256917187769</v>
      </c>
      <c r="L59">
        <v>0.976602113925236</v>
      </c>
      <c r="M59">
        <v>0.995690983779786</v>
      </c>
      <c r="N59">
        <v>0.992742813631403</v>
      </c>
      <c r="P59">
        <f>1-(P58/$X58)</f>
        <v>0.640633541420782</v>
      </c>
      <c r="Q59">
        <f t="shared" ref="Q59:W59" si="43">1-(Q58/$X58)</f>
        <v>0.794031851106421</v>
      </c>
      <c r="R59">
        <f t="shared" si="43"/>
        <v>0.8321544659143</v>
      </c>
      <c r="S59">
        <f t="shared" si="43"/>
        <v>0.919698279702045</v>
      </c>
      <c r="T59">
        <f t="shared" si="43"/>
        <v>0.896771198096</v>
      </c>
      <c r="U59">
        <f t="shared" si="43"/>
        <v>0.891840078292903</v>
      </c>
      <c r="V59">
        <f t="shared" si="43"/>
        <v>0.953619791717469</v>
      </c>
      <c r="W59">
        <f t="shared" si="43"/>
        <v>0.933225583051277</v>
      </c>
      <c r="Y59">
        <f>1-(Y58/AI58)</f>
        <v>0.959575370382035</v>
      </c>
      <c r="Z59">
        <f t="shared" ref="Z59:AG59" si="44">1-(Z58/AJ58)</f>
        <v>0.985732806493624</v>
      </c>
      <c r="AA59">
        <f t="shared" si="44"/>
        <v>0.990209748308821</v>
      </c>
      <c r="AB59">
        <f t="shared" si="44"/>
        <v>0.997586841060534</v>
      </c>
      <c r="AC59">
        <f t="shared" si="44"/>
        <v>0.987411426680898</v>
      </c>
      <c r="AD59">
        <f t="shared" si="44"/>
        <v>0.994059929958531</v>
      </c>
      <c r="AE59">
        <f t="shared" si="44"/>
        <v>0.998934492779549</v>
      </c>
      <c r="AF59">
        <f t="shared" si="44"/>
        <v>0.998222263661543</v>
      </c>
      <c r="AG59" t="e">
        <f t="shared" si="44"/>
        <v>#DIV/0!</v>
      </c>
    </row>
    <row r="60" spans="6:14">
      <c r="F60" t="s">
        <v>32</v>
      </c>
      <c r="G60">
        <v>1211.83432743122</v>
      </c>
      <c r="H60">
        <v>725.205405678951</v>
      </c>
      <c r="I60">
        <v>607.424790906631</v>
      </c>
      <c r="J60">
        <v>302.511688917759</v>
      </c>
      <c r="K60">
        <v>707.52489439335</v>
      </c>
      <c r="L60">
        <v>480.442714373365</v>
      </c>
      <c r="M60">
        <v>206.17802035455</v>
      </c>
      <c r="N60">
        <v>267.570012544447</v>
      </c>
    </row>
    <row r="61" spans="6:14">
      <c r="F61" t="s">
        <v>33</v>
      </c>
      <c r="G61">
        <f>G60/$F67</f>
        <v>0.284727146742923</v>
      </c>
      <c r="H61">
        <f t="shared" ref="H61:N61" si="45">H60/$F67</f>
        <v>0.170391002538448</v>
      </c>
      <c r="I61">
        <f t="shared" si="45"/>
        <v>0.142717798679933</v>
      </c>
      <c r="J61">
        <f t="shared" si="45"/>
        <v>0.0710767867291865</v>
      </c>
      <c r="K61">
        <f t="shared" si="45"/>
        <v>0.166236869075356</v>
      </c>
      <c r="L61">
        <f t="shared" si="45"/>
        <v>0.112882660723866</v>
      </c>
      <c r="M61">
        <f t="shared" si="45"/>
        <v>0.0484426609544011</v>
      </c>
      <c r="N61">
        <f t="shared" si="45"/>
        <v>0.0628670475008247</v>
      </c>
    </row>
    <row r="62" spans="6:14">
      <c r="F62" t="s">
        <v>34</v>
      </c>
      <c r="G62">
        <v>986.855590178571</v>
      </c>
      <c r="H62">
        <v>565.608765876392</v>
      </c>
      <c r="I62">
        <v>460.920321428572</v>
      </c>
      <c r="J62">
        <v>220.516410714286</v>
      </c>
      <c r="K62">
        <v>283.476428571429</v>
      </c>
      <c r="L62">
        <v>297.017767857143</v>
      </c>
      <c r="M62">
        <v>127.364607142857</v>
      </c>
      <c r="N62">
        <v>183.369107142857</v>
      </c>
    </row>
    <row r="63" spans="6:14">
      <c r="F63" t="s">
        <v>35</v>
      </c>
      <c r="G63">
        <v>0.640633541420782</v>
      </c>
      <c r="H63">
        <v>0.794031851106421</v>
      </c>
      <c r="I63">
        <v>0.8321544659143</v>
      </c>
      <c r="J63">
        <v>0.919698279702045</v>
      </c>
      <c r="K63">
        <v>0.896771198096</v>
      </c>
      <c r="L63">
        <v>0.891840078292903</v>
      </c>
      <c r="M63">
        <v>0.953619791717469</v>
      </c>
      <c r="N63">
        <v>0.933225583051277</v>
      </c>
    </row>
    <row r="64" spans="6:32">
      <c r="F64" t="s">
        <v>36</v>
      </c>
      <c r="G64">
        <v>0.959575370382035</v>
      </c>
      <c r="H64">
        <v>0.985732806493624</v>
      </c>
      <c r="I64">
        <v>0.990209748308821</v>
      </c>
      <c r="J64">
        <v>0.997586841060534</v>
      </c>
      <c r="K64">
        <v>0.987411426680898</v>
      </c>
      <c r="L64">
        <v>0.994059929958531</v>
      </c>
      <c r="M64">
        <v>0.998934492779549</v>
      </c>
      <c r="N64">
        <v>0.998222263661543</v>
      </c>
      <c r="P64">
        <f>AVERAGE(P2:P59)</f>
        <v>1905.66321954382</v>
      </c>
      <c r="Q64">
        <f t="shared" ref="Q64:W64" si="46">AVERAGE(Q2:Q57)</f>
        <v>565.608765876392</v>
      </c>
      <c r="R64">
        <f t="shared" si="46"/>
        <v>460.920321428572</v>
      </c>
      <c r="S64">
        <f t="shared" si="46"/>
        <v>220.516410714286</v>
      </c>
      <c r="T64">
        <f t="shared" si="46"/>
        <v>283.476428571429</v>
      </c>
      <c r="U64">
        <f t="shared" si="46"/>
        <v>297.017767857143</v>
      </c>
      <c r="V64">
        <f t="shared" si="46"/>
        <v>127.364607142857</v>
      </c>
      <c r="W64">
        <f t="shared" si="46"/>
        <v>183.369107142857</v>
      </c>
      <c r="Y64">
        <f t="shared" ref="Y64:AF64" si="47">1-(Y58/$AG58)</f>
        <v>0.851139354052106</v>
      </c>
      <c r="Z64">
        <f t="shared" si="47"/>
        <v>0.946689167627038</v>
      </c>
      <c r="AA64">
        <f t="shared" si="47"/>
        <v>0.962599412536633</v>
      </c>
      <c r="AB64">
        <f t="shared" si="47"/>
        <v>0.990723637348785</v>
      </c>
      <c r="AC64">
        <f t="shared" si="47"/>
        <v>0.949256917187769</v>
      </c>
      <c r="AD64">
        <f t="shared" si="47"/>
        <v>0.976602113925236</v>
      </c>
      <c r="AE64">
        <f t="shared" si="47"/>
        <v>0.995690983779786</v>
      </c>
      <c r="AF64">
        <f t="shared" si="47"/>
        <v>0.992742813631403</v>
      </c>
    </row>
    <row r="65" spans="25:32">
      <c r="Y65">
        <f>AVERAGE(Y2:Y64)</f>
        <v>2787741.60627917</v>
      </c>
      <c r="Z65">
        <f t="shared" ref="Z65:AF65" si="48">AVERAGE(Z2:Z57)</f>
        <v>525922.880425972</v>
      </c>
      <c r="AA65">
        <f t="shared" si="48"/>
        <v>368964.876607964</v>
      </c>
      <c r="AB65">
        <f t="shared" si="48"/>
        <v>91513.321931875</v>
      </c>
      <c r="AC65">
        <f t="shared" si="48"/>
        <v>500591.476186321</v>
      </c>
      <c r="AD65">
        <f t="shared" si="48"/>
        <v>230825.201794446</v>
      </c>
      <c r="AE65">
        <f t="shared" si="48"/>
        <v>42509.3760773214</v>
      </c>
      <c r="AF65">
        <f t="shared" si="48"/>
        <v>71593.7116130357</v>
      </c>
    </row>
    <row r="66" spans="25:32">
      <c r="Y66">
        <f>Y65^0.5</f>
        <v>1669.65313951107</v>
      </c>
      <c r="Z66">
        <f t="shared" ref="Z66:AF66" si="49">Z65^0.5</f>
        <v>725.205405678951</v>
      </c>
      <c r="AA66">
        <f t="shared" si="49"/>
        <v>607.424790906631</v>
      </c>
      <c r="AB66">
        <f t="shared" si="49"/>
        <v>302.511688917759</v>
      </c>
      <c r="AC66">
        <f t="shared" si="49"/>
        <v>707.52489439335</v>
      </c>
      <c r="AD66">
        <f t="shared" si="49"/>
        <v>480.442714373365</v>
      </c>
      <c r="AE66">
        <f t="shared" si="49"/>
        <v>206.17802035455</v>
      </c>
      <c r="AF66">
        <f t="shared" si="49"/>
        <v>267.570012544447</v>
      </c>
    </row>
    <row r="67" spans="6:6">
      <c r="F67">
        <f>AVERAGE(F2:F57)</f>
        <v>4256.125</v>
      </c>
    </row>
    <row r="69" spans="1:9">
      <c r="A69" t="s">
        <v>30</v>
      </c>
      <c r="B69">
        <v>0.923167596045021</v>
      </c>
      <c r="C69">
        <v>0.973381962656689</v>
      </c>
      <c r="D69">
        <v>0.981417299455434</v>
      </c>
      <c r="E69">
        <v>0.996328783032118</v>
      </c>
      <c r="F69">
        <v>0.977015504808038</v>
      </c>
      <c r="G69">
        <v>0.988294338973003</v>
      </c>
      <c r="H69">
        <v>0.997942943550503</v>
      </c>
      <c r="I69">
        <v>0.996704670826897</v>
      </c>
    </row>
    <row r="70" spans="1:9">
      <c r="A70" t="s">
        <v>31</v>
      </c>
      <c r="B70">
        <v>0.851139354052106</v>
      </c>
      <c r="C70">
        <v>0.946689167627038</v>
      </c>
      <c r="D70">
        <v>0.962599412536633</v>
      </c>
      <c r="E70">
        <v>0.990723637348785</v>
      </c>
      <c r="F70">
        <v>0.949256917187769</v>
      </c>
      <c r="G70">
        <v>0.976602113925236</v>
      </c>
      <c r="H70">
        <v>0.995690983779786</v>
      </c>
      <c r="I70">
        <v>0.992742813631403</v>
      </c>
    </row>
    <row r="71" spans="1:9">
      <c r="A71" t="s">
        <v>32</v>
      </c>
      <c r="B71">
        <v>1211.83432743122</v>
      </c>
      <c r="C71">
        <v>725.205405678951</v>
      </c>
      <c r="D71">
        <v>607.424790906631</v>
      </c>
      <c r="E71">
        <v>302.511688917759</v>
      </c>
      <c r="F71">
        <v>707.52489439335</v>
      </c>
      <c r="G71">
        <v>480.442714373365</v>
      </c>
      <c r="H71">
        <v>206.17802035455</v>
      </c>
      <c r="I71">
        <v>267.570012544447</v>
      </c>
    </row>
    <row r="72" spans="1:9">
      <c r="A72" t="s">
        <v>33</v>
      </c>
      <c r="B72">
        <v>0.284727146742923</v>
      </c>
      <c r="C72">
        <v>0.170391002538448</v>
      </c>
      <c r="D72">
        <v>0.142717798679933</v>
      </c>
      <c r="E72">
        <v>0.0710767867291865</v>
      </c>
      <c r="F72">
        <v>0.166236869075356</v>
      </c>
      <c r="G72">
        <v>0.112882660723866</v>
      </c>
      <c r="H72">
        <v>0.0484426609544011</v>
      </c>
      <c r="I72">
        <v>0.0628670475008247</v>
      </c>
    </row>
    <row r="73" spans="1:9">
      <c r="A73" t="s">
        <v>34</v>
      </c>
      <c r="B73">
        <v>986.855590178571</v>
      </c>
      <c r="C73">
        <v>565.608765876392</v>
      </c>
      <c r="D73">
        <v>460.920321428572</v>
      </c>
      <c r="E73">
        <v>220.516410714286</v>
      </c>
      <c r="F73">
        <v>283.476428571429</v>
      </c>
      <c r="G73">
        <v>297.017767857143</v>
      </c>
      <c r="H73">
        <v>127.364607142857</v>
      </c>
      <c r="I73">
        <v>183.369107142857</v>
      </c>
    </row>
    <row r="74" spans="1:9">
      <c r="A74" t="s">
        <v>35</v>
      </c>
      <c r="B74">
        <v>0.640633541420782</v>
      </c>
      <c r="C74">
        <v>0.794031851106421</v>
      </c>
      <c r="D74">
        <v>0.8321544659143</v>
      </c>
      <c r="E74">
        <v>0.919698279702045</v>
      </c>
      <c r="F74">
        <v>0.896771198096</v>
      </c>
      <c r="G74">
        <v>0.891840078292903</v>
      </c>
      <c r="H74">
        <v>0.953619791717469</v>
      </c>
      <c r="I74">
        <v>0.933225583051277</v>
      </c>
    </row>
    <row r="75" spans="1:9">
      <c r="A75" t="s">
        <v>36</v>
      </c>
      <c r="B75">
        <v>0.959575370382035</v>
      </c>
      <c r="C75">
        <v>0.985732806493624</v>
      </c>
      <c r="D75">
        <v>0.990209748308821</v>
      </c>
      <c r="E75">
        <v>0.997586841060534</v>
      </c>
      <c r="F75">
        <v>0.987411426680898</v>
      </c>
      <c r="G75">
        <v>0.994059929958531</v>
      </c>
      <c r="H75">
        <v>0.998934492779549</v>
      </c>
      <c r="I75">
        <v>0.998222263661543</v>
      </c>
    </row>
    <row r="79" spans="5:5">
      <c r="E79">
        <v>0</v>
      </c>
    </row>
    <row r="80" spans="5:5">
      <c r="E80">
        <v>12000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0"/>
  <sheetViews>
    <sheetView workbookViewId="0">
      <selection activeCell="A1" sqref="A1"/>
    </sheetView>
  </sheetViews>
  <sheetFormatPr defaultColWidth="9" defaultRowHeight="14.4"/>
  <cols>
    <col min="1" max="1" width="5" customWidth="1"/>
    <col min="3" max="3" width="13.712962962963" customWidth="1"/>
    <col min="4" max="7" width="12.5740740740741" customWidth="1"/>
    <col min="8" max="8" width="13.712962962963" customWidth="1"/>
    <col min="9" max="9" width="12.5740740740741" customWidth="1"/>
    <col min="10" max="11" width="13.712962962963" customWidth="1"/>
  </cols>
  <sheetData>
    <row r="1" spans="2:2">
      <c r="B1" t="s">
        <v>250</v>
      </c>
    </row>
    <row r="2" spans="2:2">
      <c r="B2" t="s">
        <v>251</v>
      </c>
    </row>
    <row r="5" spans="2:11">
      <c r="B5" s="6" t="s">
        <v>46</v>
      </c>
      <c r="C5" s="7">
        <v>56</v>
      </c>
      <c r="D5" s="7">
        <v>56</v>
      </c>
      <c r="E5" s="7">
        <v>56</v>
      </c>
      <c r="F5" s="7">
        <v>56</v>
      </c>
      <c r="G5" s="7">
        <v>56</v>
      </c>
      <c r="H5" s="7">
        <v>56</v>
      </c>
      <c r="I5" s="7">
        <v>56</v>
      </c>
      <c r="J5" s="7">
        <v>56</v>
      </c>
      <c r="K5" s="7">
        <v>56</v>
      </c>
    </row>
    <row r="6" spans="2:2">
      <c r="B6" t="s">
        <v>45</v>
      </c>
    </row>
    <row r="8" spans="2:11">
      <c r="B8" s="8" t="s">
        <v>41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>
      <c r="B9" s="9" t="s">
        <v>14</v>
      </c>
      <c r="C9" s="9">
        <v>490</v>
      </c>
      <c r="D9" s="9">
        <v>-1839.3881</v>
      </c>
      <c r="E9" s="9">
        <v>622.397877803258</v>
      </c>
      <c r="F9" s="9">
        <v>-130.933</v>
      </c>
      <c r="G9" s="9">
        <v>631.05</v>
      </c>
      <c r="H9" s="9">
        <v>576.333</v>
      </c>
      <c r="I9" s="9">
        <v>540.333</v>
      </c>
      <c r="J9" s="9">
        <v>461.406</v>
      </c>
      <c r="K9" s="9">
        <v>28.291</v>
      </c>
    </row>
    <row r="10" spans="2:11">
      <c r="B10" s="9" t="s">
        <v>18</v>
      </c>
      <c r="C10" s="9">
        <v>10147</v>
      </c>
      <c r="D10" s="9">
        <v>9615.24735</v>
      </c>
      <c r="E10" s="9">
        <v>11186.426506726</v>
      </c>
      <c r="F10" s="9">
        <v>10340.006</v>
      </c>
      <c r="G10" s="9">
        <v>10066.605</v>
      </c>
      <c r="H10" s="9">
        <v>10150.667</v>
      </c>
      <c r="I10" s="9">
        <v>9853.824</v>
      </c>
      <c r="J10" s="9">
        <v>10171.906</v>
      </c>
      <c r="K10" s="9">
        <v>10331.104</v>
      </c>
    </row>
    <row r="11" spans="2:11">
      <c r="B11" s="9" t="s">
        <v>44</v>
      </c>
      <c r="C11" s="9">
        <v>1591.5</v>
      </c>
      <c r="D11" s="9">
        <v>1835.863525</v>
      </c>
      <c r="E11" s="9">
        <v>1926.72840088419</v>
      </c>
      <c r="F11" s="9">
        <v>1809.8985</v>
      </c>
      <c r="G11" s="9">
        <v>1658.49725</v>
      </c>
      <c r="H11" s="9">
        <v>1411.25</v>
      </c>
      <c r="I11" s="9">
        <v>1206.833</v>
      </c>
      <c r="J11" s="9">
        <v>1509.189</v>
      </c>
      <c r="K11" s="9">
        <v>1668.79275</v>
      </c>
    </row>
    <row r="12" spans="2:11">
      <c r="B12" s="9" t="s">
        <v>25</v>
      </c>
      <c r="C12" s="9">
        <v>3284</v>
      </c>
      <c r="D12" s="9">
        <v>4275.3032</v>
      </c>
      <c r="E12" s="9">
        <v>3564.26556767201</v>
      </c>
      <c r="F12" s="9">
        <v>3637.854</v>
      </c>
      <c r="G12" s="9">
        <v>3659.1975</v>
      </c>
      <c r="H12" s="9">
        <v>4426.5</v>
      </c>
      <c r="I12" s="9">
        <v>3118</v>
      </c>
      <c r="J12" s="9">
        <v>3461.717</v>
      </c>
      <c r="K12" s="9">
        <v>3493.087</v>
      </c>
    </row>
    <row r="13" spans="2:11">
      <c r="B13" s="9" t="s">
        <v>47</v>
      </c>
      <c r="C13" s="9">
        <v>5997.5</v>
      </c>
      <c r="D13" s="9">
        <v>6431.0922375</v>
      </c>
      <c r="E13" s="9">
        <v>5794.61246311322</v>
      </c>
      <c r="F13" s="9">
        <v>5914.584</v>
      </c>
      <c r="G13" s="9">
        <v>6274.5565</v>
      </c>
      <c r="H13" s="9">
        <v>6435.35</v>
      </c>
      <c r="I13" s="9">
        <v>6456.8</v>
      </c>
      <c r="J13" s="9">
        <v>6128.1975</v>
      </c>
      <c r="K13" s="9">
        <v>6203.4835</v>
      </c>
    </row>
    <row r="14" spans="2:11">
      <c r="B14" s="9" t="s">
        <v>48</v>
      </c>
      <c r="C14" s="10">
        <f>C13-C11</f>
        <v>4406</v>
      </c>
      <c r="D14" s="10">
        <f t="shared" ref="D14:K14" si="0">D13-D11</f>
        <v>4595.2287125</v>
      </c>
      <c r="E14" s="10">
        <f t="shared" si="0"/>
        <v>3867.88406222903</v>
      </c>
      <c r="F14" s="10">
        <f t="shared" si="0"/>
        <v>4104.6855</v>
      </c>
      <c r="G14" s="10">
        <f t="shared" si="0"/>
        <v>4616.05925</v>
      </c>
      <c r="H14" s="10">
        <f t="shared" si="0"/>
        <v>5024.1</v>
      </c>
      <c r="I14" s="10">
        <f t="shared" si="0"/>
        <v>5249.967</v>
      </c>
      <c r="J14" s="10">
        <f t="shared" si="0"/>
        <v>4619.0085</v>
      </c>
      <c r="K14" s="10">
        <f t="shared" si="0"/>
        <v>4534.69075</v>
      </c>
    </row>
    <row r="15" spans="2:11">
      <c r="B15" s="11" t="s">
        <v>17</v>
      </c>
      <c r="C15" s="12">
        <v>4256.125</v>
      </c>
      <c r="D15" s="12">
        <v>4199.45793482143</v>
      </c>
      <c r="E15" s="12">
        <v>4271.50674843874</v>
      </c>
      <c r="F15" s="12">
        <v>4222.92221428571</v>
      </c>
      <c r="G15" s="12">
        <v>4340.90848214286</v>
      </c>
      <c r="H15" s="12">
        <v>4463.43610714286</v>
      </c>
      <c r="I15" s="12">
        <v>4290.887125</v>
      </c>
      <c r="J15" s="12">
        <v>4262.46660714286</v>
      </c>
      <c r="K15" s="12">
        <v>4237.91992857143</v>
      </c>
    </row>
    <row r="16" spans="2:11">
      <c r="B16" s="11" t="s">
        <v>53</v>
      </c>
      <c r="C16" s="12">
        <v>10044583.6386364</v>
      </c>
      <c r="D16" s="12">
        <v>9083957.5140025</v>
      </c>
      <c r="E16" s="12">
        <v>8985764.76028378</v>
      </c>
      <c r="F16" s="12">
        <v>9252586.83191293</v>
      </c>
      <c r="G16" s="12">
        <v>9284455.75536647</v>
      </c>
      <c r="H16" s="12">
        <v>10201293.4971968</v>
      </c>
      <c r="I16" s="12">
        <v>9790038.31990921</v>
      </c>
      <c r="J16" s="12">
        <v>10285255.5750525</v>
      </c>
      <c r="K16" s="12">
        <v>10493002.7665325</v>
      </c>
    </row>
    <row r="17" ht="15.15" spans="2:11">
      <c r="B17" s="13" t="s">
        <v>54</v>
      </c>
      <c r="C17" s="14">
        <v>3169.31911278059</v>
      </c>
      <c r="D17" s="14">
        <v>3013.9604367016</v>
      </c>
      <c r="E17" s="14">
        <v>2997.62652114699</v>
      </c>
      <c r="F17" s="14">
        <v>3041.80650796742</v>
      </c>
      <c r="G17" s="14">
        <v>3047.04049125811</v>
      </c>
      <c r="H17" s="14">
        <v>3193.94638295586</v>
      </c>
      <c r="I17" s="14">
        <v>3128.90369297446</v>
      </c>
      <c r="J17" s="14">
        <v>3207.06338806274</v>
      </c>
      <c r="K17" s="14">
        <v>3239.29047270117</v>
      </c>
    </row>
    <row r="20" spans="2:2">
      <c r="B20" t="s">
        <v>252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1"/>
  <sheetViews>
    <sheetView workbookViewId="0">
      <selection activeCell="BA23" sqref="BA23"/>
    </sheetView>
  </sheetViews>
  <sheetFormatPr defaultColWidth="9" defaultRowHeight="14.4"/>
  <sheetData>
    <row r="1" spans="1:57">
      <c r="A1" t="s">
        <v>253</v>
      </c>
      <c r="B1" t="s">
        <v>254</v>
      </c>
      <c r="C1" t="s">
        <v>255</v>
      </c>
      <c r="D1" t="s">
        <v>256</v>
      </c>
      <c r="F1" t="s">
        <v>253</v>
      </c>
      <c r="G1" t="s">
        <v>254</v>
      </c>
      <c r="H1" t="s">
        <v>255</v>
      </c>
      <c r="I1" t="s">
        <v>256</v>
      </c>
      <c r="K1" t="s">
        <v>253</v>
      </c>
      <c r="L1" t="s">
        <v>254</v>
      </c>
      <c r="M1" t="s">
        <v>255</v>
      </c>
      <c r="N1" t="s">
        <v>256</v>
      </c>
      <c r="P1" t="s">
        <v>253</v>
      </c>
      <c r="Q1" t="s">
        <v>254</v>
      </c>
      <c r="R1" t="s">
        <v>255</v>
      </c>
      <c r="S1" t="s">
        <v>256</v>
      </c>
      <c r="U1" t="s">
        <v>253</v>
      </c>
      <c r="V1" t="s">
        <v>254</v>
      </c>
      <c r="W1" t="s">
        <v>255</v>
      </c>
      <c r="X1" t="s">
        <v>256</v>
      </c>
      <c r="Z1" t="s">
        <v>253</v>
      </c>
      <c r="AA1" t="s">
        <v>254</v>
      </c>
      <c r="AB1" t="s">
        <v>255</v>
      </c>
      <c r="AC1" t="s">
        <v>256</v>
      </c>
      <c r="AE1" t="s">
        <v>253</v>
      </c>
      <c r="AF1" t="s">
        <v>254</v>
      </c>
      <c r="AG1" t="s">
        <v>255</v>
      </c>
      <c r="AH1" t="s">
        <v>256</v>
      </c>
      <c r="AI1" t="s">
        <v>253</v>
      </c>
      <c r="AJ1" t="s">
        <v>254</v>
      </c>
      <c r="AK1" t="s">
        <v>255</v>
      </c>
      <c r="AL1" t="s">
        <v>256</v>
      </c>
      <c r="AN1" t="s">
        <v>253</v>
      </c>
      <c r="AO1" t="s">
        <v>254</v>
      </c>
      <c r="AP1" t="s">
        <v>255</v>
      </c>
      <c r="AQ1" t="s">
        <v>256</v>
      </c>
      <c r="AS1" t="s">
        <v>253</v>
      </c>
      <c r="AT1" t="s">
        <v>254</v>
      </c>
      <c r="AU1" t="s">
        <v>255</v>
      </c>
      <c r="AV1" t="s">
        <v>256</v>
      </c>
      <c r="AW1" t="s">
        <v>253</v>
      </c>
      <c r="AX1" t="s">
        <v>254</v>
      </c>
      <c r="AY1" t="s">
        <v>255</v>
      </c>
      <c r="AZ1" t="s">
        <v>256</v>
      </c>
      <c r="BB1" t="s">
        <v>253</v>
      </c>
      <c r="BC1" t="s">
        <v>254</v>
      </c>
      <c r="BD1" t="s">
        <v>255</v>
      </c>
      <c r="BE1" t="s">
        <v>256</v>
      </c>
    </row>
    <row r="2" spans="1:57">
      <c r="A2">
        <v>1</v>
      </c>
      <c r="B2">
        <v>2405</v>
      </c>
      <c r="C2">
        <v>3340.594</v>
      </c>
      <c r="D2">
        <v>935.594</v>
      </c>
      <c r="F2">
        <v>1</v>
      </c>
      <c r="G2">
        <v>4731</v>
      </c>
      <c r="H2">
        <v>4083.744</v>
      </c>
      <c r="I2">
        <v>-647.256</v>
      </c>
      <c r="K2">
        <v>1</v>
      </c>
      <c r="L2">
        <v>2405</v>
      </c>
      <c r="M2">
        <v>2631.286</v>
      </c>
      <c r="N2">
        <v>226.286</v>
      </c>
      <c r="P2">
        <v>1</v>
      </c>
      <c r="Q2">
        <v>4731</v>
      </c>
      <c r="R2">
        <v>4198.843</v>
      </c>
      <c r="S2">
        <v>-532.157</v>
      </c>
      <c r="U2">
        <v>1</v>
      </c>
      <c r="V2">
        <v>2405</v>
      </c>
      <c r="W2">
        <v>2405</v>
      </c>
      <c r="X2">
        <v>0</v>
      </c>
      <c r="Z2">
        <v>1</v>
      </c>
      <c r="AA2">
        <v>4731</v>
      </c>
      <c r="AB2">
        <v>4858</v>
      </c>
      <c r="AC2">
        <v>127</v>
      </c>
      <c r="AE2">
        <v>1</v>
      </c>
      <c r="AF2">
        <v>2405</v>
      </c>
      <c r="AG2">
        <v>3118</v>
      </c>
      <c r="AH2">
        <v>713</v>
      </c>
      <c r="AI2">
        <v>1</v>
      </c>
      <c r="AJ2">
        <v>4731</v>
      </c>
      <c r="AK2">
        <v>3118</v>
      </c>
      <c r="AL2">
        <v>-1613</v>
      </c>
      <c r="AN2">
        <v>1</v>
      </c>
      <c r="AO2">
        <v>2405</v>
      </c>
      <c r="AP2">
        <v>2659.25</v>
      </c>
      <c r="AQ2">
        <v>254.25</v>
      </c>
      <c r="AS2">
        <v>1</v>
      </c>
      <c r="AT2">
        <v>4731</v>
      </c>
      <c r="AU2">
        <v>4116.903</v>
      </c>
      <c r="AV2">
        <v>-614.097</v>
      </c>
      <c r="AW2">
        <v>1</v>
      </c>
      <c r="AX2">
        <v>2405</v>
      </c>
      <c r="AY2">
        <v>2521.285</v>
      </c>
      <c r="AZ2">
        <v>116.285</v>
      </c>
      <c r="BB2">
        <v>1</v>
      </c>
      <c r="BC2">
        <v>4731</v>
      </c>
      <c r="BD2">
        <v>4207.634</v>
      </c>
      <c r="BE2">
        <v>-523.366</v>
      </c>
    </row>
    <row r="3" spans="1:57">
      <c r="A3">
        <v>2</v>
      </c>
      <c r="B3">
        <v>3201</v>
      </c>
      <c r="C3">
        <v>3489.224</v>
      </c>
      <c r="D3">
        <v>288.224</v>
      </c>
      <c r="F3">
        <v>2</v>
      </c>
      <c r="G3">
        <v>5584</v>
      </c>
      <c r="H3">
        <v>5028.255</v>
      </c>
      <c r="I3">
        <v>-555.745</v>
      </c>
      <c r="K3">
        <v>2</v>
      </c>
      <c r="L3">
        <v>3201</v>
      </c>
      <c r="M3">
        <v>3157.045</v>
      </c>
      <c r="N3">
        <v>-43.955</v>
      </c>
      <c r="P3">
        <v>2</v>
      </c>
      <c r="Q3">
        <v>5584</v>
      </c>
      <c r="R3">
        <v>5541.423</v>
      </c>
      <c r="S3">
        <v>-42.577</v>
      </c>
      <c r="U3">
        <v>2</v>
      </c>
      <c r="V3">
        <v>3201</v>
      </c>
      <c r="W3">
        <v>3296.25</v>
      </c>
      <c r="X3">
        <v>95.25</v>
      </c>
      <c r="Z3">
        <v>2</v>
      </c>
      <c r="AA3">
        <v>5584</v>
      </c>
      <c r="AB3">
        <v>5510</v>
      </c>
      <c r="AC3">
        <v>-74</v>
      </c>
      <c r="AE3">
        <v>2</v>
      </c>
      <c r="AF3">
        <v>3201</v>
      </c>
      <c r="AG3">
        <v>3118</v>
      </c>
      <c r="AH3">
        <v>-83</v>
      </c>
      <c r="AI3">
        <v>2</v>
      </c>
      <c r="AJ3">
        <v>5584</v>
      </c>
      <c r="AK3">
        <v>5477.545</v>
      </c>
      <c r="AL3">
        <v>-106.455</v>
      </c>
      <c r="AN3">
        <v>2</v>
      </c>
      <c r="AO3">
        <v>3201</v>
      </c>
      <c r="AP3">
        <v>2876.124</v>
      </c>
      <c r="AQ3">
        <v>-324.876</v>
      </c>
      <c r="AS3">
        <v>2</v>
      </c>
      <c r="AT3">
        <v>5584</v>
      </c>
      <c r="AU3">
        <v>5605.271</v>
      </c>
      <c r="AV3">
        <v>21.271</v>
      </c>
      <c r="AW3">
        <v>2</v>
      </c>
      <c r="AX3">
        <v>3201</v>
      </c>
      <c r="AY3">
        <v>2878.83</v>
      </c>
      <c r="AZ3">
        <v>-322.17</v>
      </c>
      <c r="BB3">
        <v>2</v>
      </c>
      <c r="BC3">
        <v>5584</v>
      </c>
      <c r="BD3">
        <v>5495.978</v>
      </c>
      <c r="BE3">
        <v>-88.022</v>
      </c>
    </row>
    <row r="4" spans="1:57">
      <c r="A4">
        <v>3</v>
      </c>
      <c r="B4">
        <v>3260</v>
      </c>
      <c r="C4">
        <v>3637.854</v>
      </c>
      <c r="D4">
        <v>377.854</v>
      </c>
      <c r="F4">
        <v>3</v>
      </c>
      <c r="G4">
        <v>5845</v>
      </c>
      <c r="H4">
        <v>5947.359</v>
      </c>
      <c r="I4">
        <v>102.359</v>
      </c>
      <c r="K4">
        <v>3</v>
      </c>
      <c r="L4">
        <v>3260</v>
      </c>
      <c r="M4">
        <v>3267.629</v>
      </c>
      <c r="N4">
        <v>7.629</v>
      </c>
      <c r="P4">
        <v>3</v>
      </c>
      <c r="Q4">
        <v>5845</v>
      </c>
      <c r="R4">
        <v>5482.86</v>
      </c>
      <c r="S4">
        <v>-362.14</v>
      </c>
      <c r="U4">
        <v>3</v>
      </c>
      <c r="V4">
        <v>3260</v>
      </c>
      <c r="W4">
        <v>3296.25</v>
      </c>
      <c r="X4">
        <v>36.25</v>
      </c>
      <c r="Z4">
        <v>3</v>
      </c>
      <c r="AA4">
        <v>5845</v>
      </c>
      <c r="AB4">
        <v>5770.4</v>
      </c>
      <c r="AC4">
        <v>-74.6</v>
      </c>
      <c r="AE4">
        <v>3</v>
      </c>
      <c r="AF4">
        <v>3260</v>
      </c>
      <c r="AG4">
        <v>3118</v>
      </c>
      <c r="AH4">
        <v>-142</v>
      </c>
      <c r="AI4">
        <v>3</v>
      </c>
      <c r="AJ4">
        <v>5845</v>
      </c>
      <c r="AK4">
        <v>5477.545</v>
      </c>
      <c r="AL4">
        <v>-367.455</v>
      </c>
      <c r="AN4">
        <v>3</v>
      </c>
      <c r="AO4">
        <v>3260</v>
      </c>
      <c r="AP4">
        <v>3126.861</v>
      </c>
      <c r="AQ4">
        <v>-133.139</v>
      </c>
      <c r="AS4">
        <v>3</v>
      </c>
      <c r="AT4">
        <v>5845</v>
      </c>
      <c r="AU4">
        <v>5817.523</v>
      </c>
      <c r="AV4">
        <v>-27.477</v>
      </c>
      <c r="AW4">
        <v>3</v>
      </c>
      <c r="AX4">
        <v>3260</v>
      </c>
      <c r="AY4">
        <v>3231.297</v>
      </c>
      <c r="AZ4">
        <v>-28.703</v>
      </c>
      <c r="BB4">
        <v>3</v>
      </c>
      <c r="BC4">
        <v>5845</v>
      </c>
      <c r="BD4">
        <v>5838.348</v>
      </c>
      <c r="BE4">
        <v>-6.652</v>
      </c>
    </row>
    <row r="5" spans="1:57">
      <c r="A5">
        <v>4</v>
      </c>
      <c r="B5">
        <v>3302</v>
      </c>
      <c r="C5">
        <v>3786.484</v>
      </c>
      <c r="D5">
        <v>484.484</v>
      </c>
      <c r="F5">
        <v>4</v>
      </c>
      <c r="G5">
        <v>932</v>
      </c>
      <c r="H5">
        <v>663.655</v>
      </c>
      <c r="I5">
        <v>-268.345</v>
      </c>
      <c r="K5">
        <v>4</v>
      </c>
      <c r="L5">
        <v>3302</v>
      </c>
      <c r="M5">
        <v>3346.119</v>
      </c>
      <c r="N5">
        <v>44.119</v>
      </c>
      <c r="P5">
        <v>4</v>
      </c>
      <c r="Q5">
        <v>932</v>
      </c>
      <c r="R5">
        <v>995.224</v>
      </c>
      <c r="S5">
        <v>63.224</v>
      </c>
      <c r="U5">
        <v>4</v>
      </c>
      <c r="V5">
        <v>3302</v>
      </c>
      <c r="W5">
        <v>3296.25</v>
      </c>
      <c r="X5">
        <v>-5.75</v>
      </c>
      <c r="Z5">
        <v>4</v>
      </c>
      <c r="AA5">
        <v>932</v>
      </c>
      <c r="AB5">
        <v>995.25</v>
      </c>
      <c r="AC5">
        <v>63.25</v>
      </c>
      <c r="AE5">
        <v>4</v>
      </c>
      <c r="AF5">
        <v>3302</v>
      </c>
      <c r="AG5">
        <v>3118</v>
      </c>
      <c r="AH5">
        <v>-184</v>
      </c>
      <c r="AI5">
        <v>4</v>
      </c>
      <c r="AJ5">
        <v>932</v>
      </c>
      <c r="AK5">
        <v>1040.2</v>
      </c>
      <c r="AL5">
        <v>108.2</v>
      </c>
      <c r="AN5">
        <v>4</v>
      </c>
      <c r="AO5">
        <v>3302</v>
      </c>
      <c r="AP5">
        <v>3417.475</v>
      </c>
      <c r="AQ5">
        <v>115.475</v>
      </c>
      <c r="AS5">
        <v>4</v>
      </c>
      <c r="AT5">
        <v>932</v>
      </c>
      <c r="AU5">
        <v>1076.169</v>
      </c>
      <c r="AV5">
        <v>144.169</v>
      </c>
      <c r="AW5">
        <v>4</v>
      </c>
      <c r="AX5">
        <v>3302</v>
      </c>
      <c r="AY5">
        <v>3573.393</v>
      </c>
      <c r="AZ5">
        <v>271.393</v>
      </c>
      <c r="BB5">
        <v>4</v>
      </c>
      <c r="BC5">
        <v>932</v>
      </c>
      <c r="BD5">
        <v>774.405</v>
      </c>
      <c r="BE5">
        <v>-157.595</v>
      </c>
    </row>
    <row r="6" spans="1:57">
      <c r="A6">
        <v>5</v>
      </c>
      <c r="B6">
        <v>3422</v>
      </c>
      <c r="C6">
        <v>3935.114</v>
      </c>
      <c r="D6">
        <v>513.114</v>
      </c>
      <c r="F6">
        <v>5</v>
      </c>
      <c r="G6">
        <v>1670</v>
      </c>
      <c r="H6">
        <v>1616.619</v>
      </c>
      <c r="I6">
        <v>-53.381</v>
      </c>
      <c r="K6">
        <v>5</v>
      </c>
      <c r="L6">
        <v>3422</v>
      </c>
      <c r="M6">
        <v>3475.343</v>
      </c>
      <c r="N6">
        <v>53.343</v>
      </c>
      <c r="P6">
        <v>5</v>
      </c>
      <c r="Q6">
        <v>1670</v>
      </c>
      <c r="R6">
        <v>1694.618</v>
      </c>
      <c r="S6">
        <v>24.618</v>
      </c>
      <c r="U6">
        <v>5</v>
      </c>
      <c r="V6">
        <v>3422</v>
      </c>
      <c r="W6">
        <v>3296.25</v>
      </c>
      <c r="X6">
        <v>-125.75</v>
      </c>
      <c r="Z6">
        <v>5</v>
      </c>
      <c r="AA6">
        <v>1670</v>
      </c>
      <c r="AB6">
        <v>1220</v>
      </c>
      <c r="AC6">
        <v>-450</v>
      </c>
      <c r="AE6">
        <v>5</v>
      </c>
      <c r="AF6">
        <v>3422</v>
      </c>
      <c r="AG6">
        <v>3118</v>
      </c>
      <c r="AH6">
        <v>-304</v>
      </c>
      <c r="AI6">
        <v>5</v>
      </c>
      <c r="AJ6">
        <v>1670</v>
      </c>
      <c r="AK6">
        <v>1040.2</v>
      </c>
      <c r="AL6">
        <v>-629.8</v>
      </c>
      <c r="AN6">
        <v>5</v>
      </c>
      <c r="AO6">
        <v>3422</v>
      </c>
      <c r="AP6">
        <v>3750.723</v>
      </c>
      <c r="AQ6">
        <v>328.723</v>
      </c>
      <c r="AS6">
        <v>5</v>
      </c>
      <c r="AT6">
        <v>1670</v>
      </c>
      <c r="AU6">
        <v>1567.063</v>
      </c>
      <c r="AV6">
        <v>-102.937</v>
      </c>
      <c r="AW6">
        <v>5</v>
      </c>
      <c r="AX6">
        <v>3422</v>
      </c>
      <c r="AY6">
        <v>3900.265</v>
      </c>
      <c r="AZ6">
        <v>478.265</v>
      </c>
      <c r="BB6">
        <v>5</v>
      </c>
      <c r="BC6">
        <v>1670</v>
      </c>
      <c r="BD6">
        <v>1542.733</v>
      </c>
      <c r="BE6">
        <v>-127.267</v>
      </c>
    </row>
    <row r="7" spans="1:57">
      <c r="A7">
        <v>6</v>
      </c>
      <c r="B7">
        <v>4825</v>
      </c>
      <c r="C7">
        <v>4338.719</v>
      </c>
      <c r="D7">
        <v>-486.281</v>
      </c>
      <c r="F7">
        <v>6</v>
      </c>
      <c r="G7">
        <v>3211</v>
      </c>
      <c r="H7">
        <v>2977.995</v>
      </c>
      <c r="I7">
        <v>-233.005</v>
      </c>
      <c r="K7">
        <v>6</v>
      </c>
      <c r="L7">
        <v>4825</v>
      </c>
      <c r="M7">
        <v>4610.724</v>
      </c>
      <c r="N7">
        <v>-214.276</v>
      </c>
      <c r="P7">
        <v>6</v>
      </c>
      <c r="Q7">
        <v>3211</v>
      </c>
      <c r="R7">
        <v>3082.936</v>
      </c>
      <c r="S7">
        <v>-128.064</v>
      </c>
      <c r="U7">
        <v>6</v>
      </c>
      <c r="V7">
        <v>4825</v>
      </c>
      <c r="W7">
        <v>4858</v>
      </c>
      <c r="X7">
        <v>33</v>
      </c>
      <c r="Z7">
        <v>6</v>
      </c>
      <c r="AA7">
        <v>3211</v>
      </c>
      <c r="AB7">
        <v>3286.75</v>
      </c>
      <c r="AC7">
        <v>75.75</v>
      </c>
      <c r="AE7">
        <v>6</v>
      </c>
      <c r="AF7">
        <v>4825</v>
      </c>
      <c r="AG7">
        <v>5477.545</v>
      </c>
      <c r="AH7">
        <v>652.545</v>
      </c>
      <c r="AI7">
        <v>6</v>
      </c>
      <c r="AJ7">
        <v>3211</v>
      </c>
      <c r="AK7">
        <v>3040.667</v>
      </c>
      <c r="AL7">
        <v>-170.333</v>
      </c>
      <c r="AN7">
        <v>6</v>
      </c>
      <c r="AO7">
        <v>4825</v>
      </c>
      <c r="AP7">
        <v>4491.292</v>
      </c>
      <c r="AQ7">
        <v>-333.708</v>
      </c>
      <c r="AS7">
        <v>6</v>
      </c>
      <c r="AT7">
        <v>3211</v>
      </c>
      <c r="AU7">
        <v>3147.444</v>
      </c>
      <c r="AV7">
        <v>-63.556</v>
      </c>
      <c r="AW7">
        <v>6</v>
      </c>
      <c r="AX7">
        <v>4825</v>
      </c>
      <c r="AY7">
        <v>4491.902</v>
      </c>
      <c r="AZ7">
        <v>-333.098</v>
      </c>
      <c r="BB7">
        <v>6</v>
      </c>
      <c r="BC7">
        <v>3211</v>
      </c>
      <c r="BD7">
        <v>3020.613</v>
      </c>
      <c r="BE7">
        <v>-190.387</v>
      </c>
    </row>
    <row r="8" spans="1:57">
      <c r="A8">
        <v>7</v>
      </c>
      <c r="B8">
        <v>4865</v>
      </c>
      <c r="C8">
        <v>4471.687</v>
      </c>
      <c r="D8">
        <v>-393.313</v>
      </c>
      <c r="F8">
        <v>7</v>
      </c>
      <c r="G8">
        <v>3321</v>
      </c>
      <c r="H8">
        <v>5494.926</v>
      </c>
      <c r="I8">
        <v>2173.926</v>
      </c>
      <c r="K8">
        <v>7</v>
      </c>
      <c r="L8">
        <v>4865</v>
      </c>
      <c r="M8">
        <v>4740.76</v>
      </c>
      <c r="N8">
        <v>-124.24</v>
      </c>
      <c r="P8">
        <v>7</v>
      </c>
      <c r="Q8">
        <v>3321</v>
      </c>
      <c r="R8">
        <v>4478.333</v>
      </c>
      <c r="S8">
        <v>1157.333</v>
      </c>
      <c r="U8">
        <v>7</v>
      </c>
      <c r="V8">
        <v>4865</v>
      </c>
      <c r="W8">
        <v>4858</v>
      </c>
      <c r="X8">
        <v>-7</v>
      </c>
      <c r="Z8">
        <v>7</v>
      </c>
      <c r="AA8">
        <v>3321</v>
      </c>
      <c r="AB8">
        <v>4205</v>
      </c>
      <c r="AC8">
        <v>884</v>
      </c>
      <c r="AE8">
        <v>7</v>
      </c>
      <c r="AF8">
        <v>4865</v>
      </c>
      <c r="AG8">
        <v>5477.545</v>
      </c>
      <c r="AH8">
        <v>612.545</v>
      </c>
      <c r="AI8">
        <v>7</v>
      </c>
      <c r="AJ8">
        <v>3321</v>
      </c>
      <c r="AK8">
        <v>5040.2</v>
      </c>
      <c r="AL8">
        <v>1719.2</v>
      </c>
      <c r="AN8">
        <v>7</v>
      </c>
      <c r="AO8">
        <v>4865</v>
      </c>
      <c r="AP8">
        <v>4841.062</v>
      </c>
      <c r="AQ8">
        <v>-23.938</v>
      </c>
      <c r="AS8">
        <v>7</v>
      </c>
      <c r="AT8">
        <v>3321</v>
      </c>
      <c r="AU8">
        <v>3650.419</v>
      </c>
      <c r="AV8">
        <v>329.419</v>
      </c>
      <c r="AW8">
        <v>7</v>
      </c>
      <c r="AX8">
        <v>4865</v>
      </c>
      <c r="AY8">
        <v>4750.228</v>
      </c>
      <c r="AZ8">
        <v>-114.772</v>
      </c>
      <c r="BB8">
        <v>7</v>
      </c>
      <c r="BC8">
        <v>3321</v>
      </c>
      <c r="BD8">
        <v>3855.779</v>
      </c>
      <c r="BE8">
        <v>534.779</v>
      </c>
    </row>
    <row r="9" spans="1:57">
      <c r="A9">
        <v>8</v>
      </c>
      <c r="B9">
        <v>4884</v>
      </c>
      <c r="C9">
        <v>4604.656</v>
      </c>
      <c r="D9">
        <v>-279.344</v>
      </c>
      <c r="F9">
        <v>8</v>
      </c>
      <c r="G9">
        <v>8865</v>
      </c>
      <c r="H9">
        <v>8157.115</v>
      </c>
      <c r="I9">
        <v>-707.885</v>
      </c>
      <c r="K9">
        <v>8</v>
      </c>
      <c r="L9">
        <v>4884</v>
      </c>
      <c r="M9">
        <v>4980.037</v>
      </c>
      <c r="N9">
        <v>96.037</v>
      </c>
      <c r="P9">
        <v>8</v>
      </c>
      <c r="Q9">
        <v>8865</v>
      </c>
      <c r="R9">
        <v>8404.95</v>
      </c>
      <c r="S9">
        <v>-460.05</v>
      </c>
      <c r="U9">
        <v>8</v>
      </c>
      <c r="V9">
        <v>4884</v>
      </c>
      <c r="W9">
        <v>4858</v>
      </c>
      <c r="X9">
        <v>-26</v>
      </c>
      <c r="Z9">
        <v>8</v>
      </c>
      <c r="AA9">
        <v>8865</v>
      </c>
      <c r="AB9">
        <v>8808.333</v>
      </c>
      <c r="AC9">
        <v>-56.667</v>
      </c>
      <c r="AE9">
        <v>8</v>
      </c>
      <c r="AF9">
        <v>4884</v>
      </c>
      <c r="AG9">
        <v>5477.545</v>
      </c>
      <c r="AH9">
        <v>593.545</v>
      </c>
      <c r="AI9">
        <v>8</v>
      </c>
      <c r="AJ9">
        <v>8865</v>
      </c>
      <c r="AK9">
        <v>8914.6</v>
      </c>
      <c r="AL9">
        <v>49.6</v>
      </c>
      <c r="AN9">
        <v>8</v>
      </c>
      <c r="AO9">
        <v>4884</v>
      </c>
      <c r="AP9">
        <v>5136.908</v>
      </c>
      <c r="AQ9">
        <v>252.908</v>
      </c>
      <c r="AS9">
        <v>8</v>
      </c>
      <c r="AT9">
        <v>8865</v>
      </c>
      <c r="AU9">
        <v>9068.397</v>
      </c>
      <c r="AV9">
        <v>203.397</v>
      </c>
      <c r="AW9">
        <v>8</v>
      </c>
      <c r="AX9">
        <v>4884</v>
      </c>
      <c r="AY9">
        <v>4980.585</v>
      </c>
      <c r="AZ9">
        <v>96.585</v>
      </c>
      <c r="BB9">
        <v>8</v>
      </c>
      <c r="BC9">
        <v>8865</v>
      </c>
      <c r="BD9">
        <v>8749.407</v>
      </c>
      <c r="BE9">
        <v>-115.593</v>
      </c>
    </row>
    <row r="10" spans="1:57">
      <c r="A10">
        <v>9</v>
      </c>
      <c r="B10">
        <v>5510</v>
      </c>
      <c r="C10">
        <v>4765.653</v>
      </c>
      <c r="D10">
        <v>-744.347</v>
      </c>
      <c r="F10">
        <v>9</v>
      </c>
      <c r="G10">
        <v>9758</v>
      </c>
      <c r="H10">
        <v>9818.192</v>
      </c>
      <c r="I10">
        <v>60.192</v>
      </c>
      <c r="K10">
        <v>9</v>
      </c>
      <c r="L10">
        <v>5510</v>
      </c>
      <c r="M10">
        <v>5473.096</v>
      </c>
      <c r="N10">
        <v>-36.904</v>
      </c>
      <c r="P10">
        <v>9</v>
      </c>
      <c r="Q10">
        <v>9758</v>
      </c>
      <c r="R10">
        <v>9682.471</v>
      </c>
      <c r="S10">
        <v>-75.529</v>
      </c>
      <c r="U10">
        <v>9</v>
      </c>
      <c r="V10">
        <v>5510</v>
      </c>
      <c r="W10">
        <v>5510</v>
      </c>
      <c r="X10">
        <v>0</v>
      </c>
      <c r="Z10">
        <v>9</v>
      </c>
      <c r="AA10">
        <v>9758</v>
      </c>
      <c r="AB10">
        <v>9849.5</v>
      </c>
      <c r="AC10">
        <v>91.5</v>
      </c>
      <c r="AE10">
        <v>9</v>
      </c>
      <c r="AF10">
        <v>5510</v>
      </c>
      <c r="AG10">
        <v>5477.545</v>
      </c>
      <c r="AH10">
        <v>-32.455</v>
      </c>
      <c r="AI10">
        <v>9</v>
      </c>
      <c r="AJ10">
        <v>9758</v>
      </c>
      <c r="AK10">
        <v>9853.824</v>
      </c>
      <c r="AL10">
        <v>95.824</v>
      </c>
      <c r="AN10">
        <v>9</v>
      </c>
      <c r="AO10">
        <v>5510</v>
      </c>
      <c r="AP10">
        <v>5361.993</v>
      </c>
      <c r="AQ10">
        <v>-148.007</v>
      </c>
      <c r="AS10">
        <v>9</v>
      </c>
      <c r="AT10">
        <v>9758</v>
      </c>
      <c r="AU10">
        <v>9786.966</v>
      </c>
      <c r="AV10">
        <v>28.966</v>
      </c>
      <c r="AW10">
        <v>9</v>
      </c>
      <c r="AX10">
        <v>5510</v>
      </c>
      <c r="AY10">
        <v>5181.779</v>
      </c>
      <c r="AZ10">
        <v>-328.221</v>
      </c>
      <c r="BB10">
        <v>9</v>
      </c>
      <c r="BC10">
        <v>9758</v>
      </c>
      <c r="BD10">
        <v>9910.702</v>
      </c>
      <c r="BE10">
        <v>152.702</v>
      </c>
    </row>
    <row r="11" spans="1:57">
      <c r="A11">
        <v>10</v>
      </c>
      <c r="B11">
        <v>5642</v>
      </c>
      <c r="C11">
        <v>5159.555</v>
      </c>
      <c r="D11">
        <v>-482.445</v>
      </c>
      <c r="F11">
        <v>10</v>
      </c>
      <c r="G11">
        <v>944</v>
      </c>
      <c r="H11">
        <v>1457.916</v>
      </c>
      <c r="I11">
        <v>513.916</v>
      </c>
      <c r="K11">
        <v>10</v>
      </c>
      <c r="L11">
        <v>5642</v>
      </c>
      <c r="M11">
        <v>5585.9</v>
      </c>
      <c r="N11">
        <v>-56.1</v>
      </c>
      <c r="P11">
        <v>10</v>
      </c>
      <c r="Q11">
        <v>944</v>
      </c>
      <c r="R11">
        <v>1242.233</v>
      </c>
      <c r="S11">
        <v>298.233</v>
      </c>
      <c r="U11">
        <v>10</v>
      </c>
      <c r="V11">
        <v>5642</v>
      </c>
      <c r="W11">
        <v>5658.5</v>
      </c>
      <c r="X11">
        <v>16.5</v>
      </c>
      <c r="Z11">
        <v>10</v>
      </c>
      <c r="AA11">
        <v>944</v>
      </c>
      <c r="AB11">
        <v>1007.5</v>
      </c>
      <c r="AC11">
        <v>63.5</v>
      </c>
      <c r="AE11">
        <v>10</v>
      </c>
      <c r="AF11">
        <v>5642</v>
      </c>
      <c r="AG11">
        <v>5477.545</v>
      </c>
      <c r="AH11">
        <v>-164.455</v>
      </c>
      <c r="AI11">
        <v>10</v>
      </c>
      <c r="AJ11">
        <v>944</v>
      </c>
      <c r="AK11">
        <v>1206.833</v>
      </c>
      <c r="AL11">
        <v>262.833</v>
      </c>
      <c r="AN11">
        <v>10</v>
      </c>
      <c r="AO11">
        <v>5642</v>
      </c>
      <c r="AP11">
        <v>5652.267</v>
      </c>
      <c r="AQ11">
        <v>10.267</v>
      </c>
      <c r="AS11">
        <v>10</v>
      </c>
      <c r="AT11">
        <v>944</v>
      </c>
      <c r="AU11">
        <v>935.723</v>
      </c>
      <c r="AV11">
        <v>-8.277</v>
      </c>
      <c r="AW11">
        <v>10</v>
      </c>
      <c r="AX11">
        <v>5642</v>
      </c>
      <c r="AY11">
        <v>5610.529</v>
      </c>
      <c r="AZ11">
        <v>-31.471</v>
      </c>
      <c r="BB11">
        <v>10</v>
      </c>
      <c r="BC11">
        <v>944</v>
      </c>
      <c r="BD11">
        <v>380.91</v>
      </c>
      <c r="BE11">
        <v>-563.09</v>
      </c>
    </row>
    <row r="12" spans="1:57">
      <c r="A12">
        <v>11</v>
      </c>
      <c r="B12">
        <v>5675</v>
      </c>
      <c r="C12">
        <v>5290.856</v>
      </c>
      <c r="D12">
        <v>-384.144</v>
      </c>
      <c r="F12">
        <v>11</v>
      </c>
      <c r="G12">
        <v>1175</v>
      </c>
      <c r="H12">
        <v>2219.308</v>
      </c>
      <c r="I12">
        <v>1044.308</v>
      </c>
      <c r="K12">
        <v>11</v>
      </c>
      <c r="L12">
        <v>5675</v>
      </c>
      <c r="M12">
        <v>5616.547</v>
      </c>
      <c r="N12">
        <v>-58.453</v>
      </c>
      <c r="P12">
        <v>11</v>
      </c>
      <c r="Q12">
        <v>1175</v>
      </c>
      <c r="R12">
        <v>1550.135</v>
      </c>
      <c r="S12">
        <v>375.135</v>
      </c>
      <c r="U12">
        <v>11</v>
      </c>
      <c r="V12">
        <v>5675</v>
      </c>
      <c r="W12">
        <v>5658.5</v>
      </c>
      <c r="X12">
        <v>-16.5</v>
      </c>
      <c r="Z12">
        <v>11</v>
      </c>
      <c r="AA12">
        <v>1175</v>
      </c>
      <c r="AB12">
        <v>1007.5</v>
      </c>
      <c r="AC12">
        <v>-167.5</v>
      </c>
      <c r="AE12">
        <v>11</v>
      </c>
      <c r="AF12">
        <v>5675</v>
      </c>
      <c r="AG12">
        <v>5477.545</v>
      </c>
      <c r="AH12">
        <v>-197.455</v>
      </c>
      <c r="AI12">
        <v>11</v>
      </c>
      <c r="AJ12">
        <v>1175</v>
      </c>
      <c r="AK12">
        <v>1206.833</v>
      </c>
      <c r="AL12">
        <v>31.833</v>
      </c>
      <c r="AN12">
        <v>11</v>
      </c>
      <c r="AO12">
        <v>5675</v>
      </c>
      <c r="AP12">
        <v>5675.669</v>
      </c>
      <c r="AQ12">
        <v>0.669</v>
      </c>
      <c r="AS12">
        <v>11</v>
      </c>
      <c r="AT12">
        <v>1175</v>
      </c>
      <c r="AU12">
        <v>1332.426</v>
      </c>
      <c r="AV12">
        <v>157.426</v>
      </c>
      <c r="AW12">
        <v>11</v>
      </c>
      <c r="AX12">
        <v>5675</v>
      </c>
      <c r="AY12">
        <v>5698.853</v>
      </c>
      <c r="AZ12">
        <v>23.853</v>
      </c>
      <c r="BB12">
        <v>11</v>
      </c>
      <c r="BC12">
        <v>1175</v>
      </c>
      <c r="BD12">
        <v>1599.495</v>
      </c>
      <c r="BE12">
        <v>424.495</v>
      </c>
    </row>
    <row r="13" spans="1:57">
      <c r="A13">
        <v>12</v>
      </c>
      <c r="B13">
        <v>5685</v>
      </c>
      <c r="C13">
        <v>5422.157</v>
      </c>
      <c r="D13">
        <v>-262.843</v>
      </c>
      <c r="F13">
        <v>12</v>
      </c>
      <c r="G13">
        <v>4767</v>
      </c>
      <c r="H13">
        <v>4439.768</v>
      </c>
      <c r="I13">
        <v>-327.232</v>
      </c>
      <c r="K13">
        <v>12</v>
      </c>
      <c r="L13">
        <v>5685</v>
      </c>
      <c r="M13">
        <v>5601.204</v>
      </c>
      <c r="N13">
        <v>-83.796</v>
      </c>
      <c r="P13">
        <v>12</v>
      </c>
      <c r="Q13">
        <v>4767</v>
      </c>
      <c r="R13">
        <v>4881.984</v>
      </c>
      <c r="S13">
        <v>114.984</v>
      </c>
      <c r="U13">
        <v>12</v>
      </c>
      <c r="V13">
        <v>5685</v>
      </c>
      <c r="W13">
        <v>5770.4</v>
      </c>
      <c r="X13">
        <v>85.4</v>
      </c>
      <c r="Z13">
        <v>12</v>
      </c>
      <c r="AA13">
        <v>4767</v>
      </c>
      <c r="AB13">
        <v>4348</v>
      </c>
      <c r="AC13">
        <v>-419</v>
      </c>
      <c r="AE13">
        <v>12</v>
      </c>
      <c r="AF13">
        <v>5685</v>
      </c>
      <c r="AG13">
        <v>5477.545</v>
      </c>
      <c r="AH13">
        <v>-207.455</v>
      </c>
      <c r="AI13">
        <v>12</v>
      </c>
      <c r="AJ13">
        <v>4767</v>
      </c>
      <c r="AK13">
        <v>4498</v>
      </c>
      <c r="AL13">
        <v>-269</v>
      </c>
      <c r="AN13">
        <v>12</v>
      </c>
      <c r="AO13">
        <v>5685</v>
      </c>
      <c r="AP13">
        <v>5692.819</v>
      </c>
      <c r="AQ13">
        <v>7.819</v>
      </c>
      <c r="AS13">
        <v>12</v>
      </c>
      <c r="AT13">
        <v>4767</v>
      </c>
      <c r="AU13">
        <v>4760.77</v>
      </c>
      <c r="AV13">
        <v>-6.23</v>
      </c>
      <c r="AW13">
        <v>12</v>
      </c>
      <c r="AX13">
        <v>5685</v>
      </c>
      <c r="AY13">
        <v>5763.233</v>
      </c>
      <c r="AZ13">
        <v>78.233</v>
      </c>
      <c r="BB13">
        <v>12</v>
      </c>
      <c r="BC13">
        <v>4767</v>
      </c>
      <c r="BD13">
        <v>4584.76</v>
      </c>
      <c r="BE13">
        <v>-182.24</v>
      </c>
    </row>
    <row r="14" spans="1:57">
      <c r="A14">
        <v>13</v>
      </c>
      <c r="B14">
        <v>5698</v>
      </c>
      <c r="C14">
        <v>5553.457</v>
      </c>
      <c r="D14">
        <v>-144.543</v>
      </c>
      <c r="F14">
        <v>13</v>
      </c>
      <c r="G14">
        <v>6311</v>
      </c>
      <c r="H14">
        <v>5903.659</v>
      </c>
      <c r="I14">
        <v>-407.341</v>
      </c>
      <c r="K14">
        <v>13</v>
      </c>
      <c r="L14">
        <v>5698</v>
      </c>
      <c r="M14">
        <v>5601.201</v>
      </c>
      <c r="N14">
        <v>-96.799</v>
      </c>
      <c r="P14">
        <v>13</v>
      </c>
      <c r="Q14">
        <v>6311</v>
      </c>
      <c r="R14">
        <v>6357.364</v>
      </c>
      <c r="S14">
        <v>46.364</v>
      </c>
      <c r="U14">
        <v>13</v>
      </c>
      <c r="V14">
        <v>5698</v>
      </c>
      <c r="W14">
        <v>5770.4</v>
      </c>
      <c r="X14">
        <v>72.4</v>
      </c>
      <c r="Z14">
        <v>13</v>
      </c>
      <c r="AA14">
        <v>6311</v>
      </c>
      <c r="AB14">
        <v>6379.8</v>
      </c>
      <c r="AC14">
        <v>68.8</v>
      </c>
      <c r="AE14">
        <v>13</v>
      </c>
      <c r="AF14">
        <v>5698</v>
      </c>
      <c r="AG14">
        <v>5477.545</v>
      </c>
      <c r="AH14">
        <v>-220.455</v>
      </c>
      <c r="AI14">
        <v>13</v>
      </c>
      <c r="AJ14">
        <v>6311</v>
      </c>
      <c r="AK14">
        <v>6456.8</v>
      </c>
      <c r="AL14">
        <v>145.8</v>
      </c>
      <c r="AN14">
        <v>13</v>
      </c>
      <c r="AO14">
        <v>5698</v>
      </c>
      <c r="AP14">
        <v>5714.898</v>
      </c>
      <c r="AQ14">
        <v>16.898</v>
      </c>
      <c r="AS14">
        <v>13</v>
      </c>
      <c r="AT14">
        <v>6311</v>
      </c>
      <c r="AU14">
        <v>6225.816</v>
      </c>
      <c r="AV14">
        <v>-85.184</v>
      </c>
      <c r="AW14">
        <v>13</v>
      </c>
      <c r="AX14">
        <v>5698</v>
      </c>
      <c r="AY14">
        <v>5806.356</v>
      </c>
      <c r="AZ14">
        <v>108.356</v>
      </c>
      <c r="BB14">
        <v>13</v>
      </c>
      <c r="BC14">
        <v>6311</v>
      </c>
      <c r="BD14">
        <v>6189.157</v>
      </c>
      <c r="BE14">
        <v>-121.843</v>
      </c>
    </row>
    <row r="15" spans="1:57">
      <c r="A15">
        <v>14</v>
      </c>
      <c r="B15">
        <v>5758</v>
      </c>
      <c r="C15">
        <v>5684.758</v>
      </c>
      <c r="D15">
        <v>-73.242</v>
      </c>
      <c r="F15">
        <v>14</v>
      </c>
      <c r="G15">
        <v>3621</v>
      </c>
      <c r="H15">
        <v>5578.187</v>
      </c>
      <c r="I15">
        <v>1957.187</v>
      </c>
      <c r="K15">
        <v>14</v>
      </c>
      <c r="L15">
        <v>5758</v>
      </c>
      <c r="M15">
        <v>5603.553</v>
      </c>
      <c r="N15">
        <v>-154.447</v>
      </c>
      <c r="P15">
        <v>14</v>
      </c>
      <c r="Q15">
        <v>3621</v>
      </c>
      <c r="R15">
        <v>4591.635</v>
      </c>
      <c r="S15">
        <v>970.635</v>
      </c>
      <c r="U15">
        <v>14</v>
      </c>
      <c r="V15">
        <v>5758</v>
      </c>
      <c r="W15">
        <v>5770.4</v>
      </c>
      <c r="X15">
        <v>12.4</v>
      </c>
      <c r="Z15">
        <v>14</v>
      </c>
      <c r="AA15">
        <v>3621</v>
      </c>
      <c r="AB15">
        <v>4505</v>
      </c>
      <c r="AC15">
        <v>884</v>
      </c>
      <c r="AE15">
        <v>14</v>
      </c>
      <c r="AF15">
        <v>5758</v>
      </c>
      <c r="AG15">
        <v>5477.545</v>
      </c>
      <c r="AH15">
        <v>-280.455</v>
      </c>
      <c r="AI15">
        <v>14</v>
      </c>
      <c r="AJ15">
        <v>3621</v>
      </c>
      <c r="AK15">
        <v>5040.2</v>
      </c>
      <c r="AL15">
        <v>1419.2</v>
      </c>
      <c r="AN15">
        <v>14</v>
      </c>
      <c r="AO15">
        <v>5758</v>
      </c>
      <c r="AP15">
        <v>5745.628</v>
      </c>
      <c r="AQ15">
        <v>-12.372</v>
      </c>
      <c r="AS15">
        <v>14</v>
      </c>
      <c r="AT15">
        <v>3621</v>
      </c>
      <c r="AU15">
        <v>4078.861</v>
      </c>
      <c r="AV15">
        <v>457.861</v>
      </c>
      <c r="AW15">
        <v>14</v>
      </c>
      <c r="AX15">
        <v>5758</v>
      </c>
      <c r="AY15">
        <v>5831.178</v>
      </c>
      <c r="AZ15">
        <v>73.178</v>
      </c>
      <c r="BB15">
        <v>14</v>
      </c>
      <c r="BC15">
        <v>3621</v>
      </c>
      <c r="BD15">
        <v>4181.627</v>
      </c>
      <c r="BE15">
        <v>560.627</v>
      </c>
    </row>
    <row r="16" spans="1:57">
      <c r="A16">
        <v>15</v>
      </c>
      <c r="B16">
        <v>5852</v>
      </c>
      <c r="C16">
        <v>6078.66</v>
      </c>
      <c r="D16">
        <v>226.66</v>
      </c>
      <c r="F16">
        <v>15</v>
      </c>
      <c r="G16">
        <v>9184</v>
      </c>
      <c r="H16">
        <v>8500.85</v>
      </c>
      <c r="I16">
        <v>-683.15</v>
      </c>
      <c r="K16">
        <v>15</v>
      </c>
      <c r="L16">
        <v>5852</v>
      </c>
      <c r="M16">
        <v>5704.534</v>
      </c>
      <c r="N16">
        <v>-147.466</v>
      </c>
      <c r="P16">
        <v>15</v>
      </c>
      <c r="Q16">
        <v>9184</v>
      </c>
      <c r="R16">
        <v>9286.392</v>
      </c>
      <c r="S16">
        <v>102.392</v>
      </c>
      <c r="U16">
        <v>15</v>
      </c>
      <c r="V16">
        <v>5852</v>
      </c>
      <c r="W16">
        <v>5770.4</v>
      </c>
      <c r="X16">
        <v>-81.6</v>
      </c>
      <c r="Z16">
        <v>15</v>
      </c>
      <c r="AA16">
        <v>9184</v>
      </c>
      <c r="AB16">
        <v>9902</v>
      </c>
      <c r="AC16">
        <v>718</v>
      </c>
      <c r="AE16">
        <v>15</v>
      </c>
      <c r="AF16">
        <v>5852</v>
      </c>
      <c r="AG16">
        <v>5477.545</v>
      </c>
      <c r="AH16">
        <v>-374.455</v>
      </c>
      <c r="AI16">
        <v>15</v>
      </c>
      <c r="AJ16">
        <v>9184</v>
      </c>
      <c r="AK16">
        <v>8914.6</v>
      </c>
      <c r="AL16">
        <v>-269.4</v>
      </c>
      <c r="AN16">
        <v>15</v>
      </c>
      <c r="AO16">
        <v>5852</v>
      </c>
      <c r="AP16">
        <v>5843.71</v>
      </c>
      <c r="AQ16">
        <v>-8.29</v>
      </c>
      <c r="AS16">
        <v>15</v>
      </c>
      <c r="AT16">
        <v>9184</v>
      </c>
      <c r="AU16">
        <v>9790.853</v>
      </c>
      <c r="AV16">
        <v>606.853</v>
      </c>
      <c r="AW16">
        <v>15</v>
      </c>
      <c r="AX16">
        <v>5852</v>
      </c>
      <c r="AY16">
        <v>5826.833</v>
      </c>
      <c r="AZ16">
        <v>-25.167</v>
      </c>
      <c r="BB16">
        <v>15</v>
      </c>
      <c r="BC16">
        <v>9184</v>
      </c>
      <c r="BD16">
        <v>9417.042</v>
      </c>
      <c r="BE16">
        <v>233.042</v>
      </c>
    </row>
    <row r="17" spans="1:57">
      <c r="A17">
        <v>16</v>
      </c>
      <c r="B17">
        <v>5859</v>
      </c>
      <c r="C17">
        <v>6209.961</v>
      </c>
      <c r="D17">
        <v>350.961</v>
      </c>
      <c r="F17">
        <v>16</v>
      </c>
      <c r="G17">
        <v>9975</v>
      </c>
      <c r="H17">
        <v>9485.595</v>
      </c>
      <c r="I17">
        <v>-489.405</v>
      </c>
      <c r="K17">
        <v>16</v>
      </c>
      <c r="L17">
        <v>5859</v>
      </c>
      <c r="M17">
        <v>5834.066</v>
      </c>
      <c r="N17">
        <v>-24.934</v>
      </c>
      <c r="P17">
        <v>16</v>
      </c>
      <c r="Q17">
        <v>9975</v>
      </c>
      <c r="R17">
        <v>9754.347</v>
      </c>
      <c r="S17">
        <v>-220.653</v>
      </c>
      <c r="U17">
        <v>16</v>
      </c>
      <c r="V17">
        <v>5859</v>
      </c>
      <c r="W17">
        <v>5770.4</v>
      </c>
      <c r="X17">
        <v>-88.6</v>
      </c>
      <c r="Z17">
        <v>16</v>
      </c>
      <c r="AA17">
        <v>9975</v>
      </c>
      <c r="AB17">
        <v>9902</v>
      </c>
      <c r="AC17">
        <v>-73</v>
      </c>
      <c r="AE17">
        <v>16</v>
      </c>
      <c r="AF17">
        <v>5859</v>
      </c>
      <c r="AG17">
        <v>5477.545</v>
      </c>
      <c r="AH17">
        <v>-381.455</v>
      </c>
      <c r="AI17">
        <v>16</v>
      </c>
      <c r="AJ17">
        <v>9975</v>
      </c>
      <c r="AK17">
        <v>9853.824</v>
      </c>
      <c r="AL17">
        <v>-121.176</v>
      </c>
      <c r="AN17">
        <v>16</v>
      </c>
      <c r="AO17">
        <v>5859</v>
      </c>
      <c r="AP17">
        <v>5854.226</v>
      </c>
      <c r="AQ17">
        <v>-4.774</v>
      </c>
      <c r="AS17">
        <v>16</v>
      </c>
      <c r="AT17">
        <v>9975</v>
      </c>
      <c r="AU17">
        <v>9908.005</v>
      </c>
      <c r="AV17">
        <v>-66.995</v>
      </c>
      <c r="AW17">
        <v>16</v>
      </c>
      <c r="AX17">
        <v>5859</v>
      </c>
      <c r="AY17">
        <v>5809.076</v>
      </c>
      <c r="AZ17">
        <v>-49.924</v>
      </c>
      <c r="BB17">
        <v>16</v>
      </c>
      <c r="BC17">
        <v>9975</v>
      </c>
      <c r="BD17">
        <v>10306.492</v>
      </c>
      <c r="BE17">
        <v>331.492</v>
      </c>
    </row>
    <row r="18" spans="1:57">
      <c r="A18">
        <v>17</v>
      </c>
      <c r="B18">
        <v>944</v>
      </c>
      <c r="C18">
        <v>799.793</v>
      </c>
      <c r="D18">
        <v>-144.207</v>
      </c>
      <c r="F18">
        <v>17</v>
      </c>
      <c r="G18">
        <v>10147</v>
      </c>
      <c r="H18">
        <v>10340.006</v>
      </c>
      <c r="I18">
        <v>193.006</v>
      </c>
      <c r="K18">
        <v>17</v>
      </c>
      <c r="L18">
        <v>944</v>
      </c>
      <c r="M18">
        <v>1015.838</v>
      </c>
      <c r="N18">
        <v>71.838</v>
      </c>
      <c r="P18">
        <v>17</v>
      </c>
      <c r="Q18">
        <v>10147</v>
      </c>
      <c r="R18">
        <v>10066.605</v>
      </c>
      <c r="S18">
        <v>-80.395</v>
      </c>
      <c r="U18">
        <v>17</v>
      </c>
      <c r="V18">
        <v>944</v>
      </c>
      <c r="W18">
        <v>995.25</v>
      </c>
      <c r="X18">
        <v>51.25</v>
      </c>
      <c r="Z18">
        <v>17</v>
      </c>
      <c r="AA18">
        <v>10147</v>
      </c>
      <c r="AB18">
        <v>10150.667</v>
      </c>
      <c r="AC18">
        <v>3.667</v>
      </c>
      <c r="AE18">
        <v>17</v>
      </c>
      <c r="AF18">
        <v>944</v>
      </c>
      <c r="AG18">
        <v>1040.2</v>
      </c>
      <c r="AH18">
        <v>96.2</v>
      </c>
      <c r="AI18">
        <v>17</v>
      </c>
      <c r="AJ18">
        <v>10147</v>
      </c>
      <c r="AK18">
        <v>9853.824</v>
      </c>
      <c r="AL18">
        <v>-293.176</v>
      </c>
      <c r="AN18">
        <v>17</v>
      </c>
      <c r="AO18">
        <v>944</v>
      </c>
      <c r="AP18">
        <v>988.332</v>
      </c>
      <c r="AQ18">
        <v>44.332</v>
      </c>
      <c r="AS18">
        <v>17</v>
      </c>
      <c r="AT18">
        <v>10147</v>
      </c>
      <c r="AU18">
        <v>10171.906</v>
      </c>
      <c r="AV18">
        <v>24.906</v>
      </c>
      <c r="AW18">
        <v>17</v>
      </c>
      <c r="AX18">
        <v>944</v>
      </c>
      <c r="AY18">
        <v>835.157</v>
      </c>
      <c r="AZ18">
        <v>-108.843</v>
      </c>
      <c r="BB18">
        <v>17</v>
      </c>
      <c r="BC18">
        <v>10147</v>
      </c>
      <c r="BD18">
        <v>10122.364</v>
      </c>
      <c r="BE18">
        <v>-24.636</v>
      </c>
    </row>
    <row r="19" spans="1:57">
      <c r="A19">
        <v>18</v>
      </c>
      <c r="B19">
        <v>975</v>
      </c>
      <c r="C19">
        <v>935.93</v>
      </c>
      <c r="D19">
        <v>-39.07</v>
      </c>
      <c r="F19">
        <v>18</v>
      </c>
      <c r="G19">
        <v>1356</v>
      </c>
      <c r="H19">
        <v>2217.677</v>
      </c>
      <c r="I19">
        <v>861.677</v>
      </c>
      <c r="K19">
        <v>18</v>
      </c>
      <c r="L19">
        <v>975</v>
      </c>
      <c r="M19">
        <v>1025.857</v>
      </c>
      <c r="N19">
        <v>50.857</v>
      </c>
      <c r="P19">
        <v>18</v>
      </c>
      <c r="Q19">
        <v>1356</v>
      </c>
      <c r="R19">
        <v>1480.584</v>
      </c>
      <c r="S19">
        <v>124.584</v>
      </c>
      <c r="U19">
        <v>18</v>
      </c>
      <c r="V19">
        <v>975</v>
      </c>
      <c r="W19">
        <v>995.25</v>
      </c>
      <c r="X19">
        <v>20.25</v>
      </c>
      <c r="Z19">
        <v>18</v>
      </c>
      <c r="AA19">
        <v>1356</v>
      </c>
      <c r="AB19">
        <v>1475</v>
      </c>
      <c r="AC19">
        <v>119</v>
      </c>
      <c r="AE19">
        <v>18</v>
      </c>
      <c r="AF19">
        <v>975</v>
      </c>
      <c r="AG19">
        <v>1040.2</v>
      </c>
      <c r="AH19">
        <v>65.2</v>
      </c>
      <c r="AI19">
        <v>18</v>
      </c>
      <c r="AJ19">
        <v>1356</v>
      </c>
      <c r="AK19">
        <v>1206.833</v>
      </c>
      <c r="AL19">
        <v>-149.167</v>
      </c>
      <c r="AN19">
        <v>18</v>
      </c>
      <c r="AO19">
        <v>975</v>
      </c>
      <c r="AP19">
        <v>935.48</v>
      </c>
      <c r="AQ19">
        <v>-39.52</v>
      </c>
      <c r="AS19">
        <v>18</v>
      </c>
      <c r="AT19">
        <v>1356</v>
      </c>
      <c r="AU19">
        <v>1335.567</v>
      </c>
      <c r="AV19">
        <v>-20.433</v>
      </c>
      <c r="AW19">
        <v>18</v>
      </c>
      <c r="AX19">
        <v>975</v>
      </c>
      <c r="AY19">
        <v>915.286</v>
      </c>
      <c r="AZ19">
        <v>-59.714</v>
      </c>
      <c r="BB19">
        <v>18</v>
      </c>
      <c r="BC19">
        <v>1356</v>
      </c>
      <c r="BD19">
        <v>1691.892</v>
      </c>
      <c r="BE19">
        <v>335.892</v>
      </c>
    </row>
    <row r="20" spans="1:57">
      <c r="A20">
        <v>19</v>
      </c>
      <c r="B20">
        <v>987</v>
      </c>
      <c r="C20">
        <v>1072.068</v>
      </c>
      <c r="D20">
        <v>85.068</v>
      </c>
      <c r="F20">
        <v>19</v>
      </c>
      <c r="G20">
        <v>4876</v>
      </c>
      <c r="H20">
        <v>4678.681</v>
      </c>
      <c r="I20">
        <v>-197.319</v>
      </c>
      <c r="K20">
        <v>19</v>
      </c>
      <c r="L20">
        <v>987</v>
      </c>
      <c r="M20">
        <v>1166.115</v>
      </c>
      <c r="N20">
        <v>179.115</v>
      </c>
      <c r="P20">
        <v>19</v>
      </c>
      <c r="Q20">
        <v>4876</v>
      </c>
      <c r="R20">
        <v>5131.119</v>
      </c>
      <c r="S20">
        <v>255.119</v>
      </c>
      <c r="U20">
        <v>19</v>
      </c>
      <c r="V20">
        <v>987</v>
      </c>
      <c r="W20">
        <v>995.25</v>
      </c>
      <c r="X20">
        <v>8.25</v>
      </c>
      <c r="Z20">
        <v>19</v>
      </c>
      <c r="AA20">
        <v>4876</v>
      </c>
      <c r="AB20">
        <v>4648</v>
      </c>
      <c r="AC20">
        <v>-228</v>
      </c>
      <c r="AE20">
        <v>19</v>
      </c>
      <c r="AF20">
        <v>987</v>
      </c>
      <c r="AG20">
        <v>1040.2</v>
      </c>
      <c r="AH20">
        <v>53.2</v>
      </c>
      <c r="AI20">
        <v>19</v>
      </c>
      <c r="AJ20">
        <v>4876</v>
      </c>
      <c r="AK20">
        <v>4498</v>
      </c>
      <c r="AL20">
        <v>-378</v>
      </c>
      <c r="AN20">
        <v>19</v>
      </c>
      <c r="AO20">
        <v>987</v>
      </c>
      <c r="AP20">
        <v>933.165</v>
      </c>
      <c r="AQ20">
        <v>-53.835</v>
      </c>
      <c r="AS20">
        <v>19</v>
      </c>
      <c r="AT20">
        <v>4876</v>
      </c>
      <c r="AU20">
        <v>5058.15</v>
      </c>
      <c r="AV20">
        <v>182.15</v>
      </c>
      <c r="AW20">
        <v>19</v>
      </c>
      <c r="AX20">
        <v>987</v>
      </c>
      <c r="AY20">
        <v>1013.244</v>
      </c>
      <c r="AZ20">
        <v>26.244</v>
      </c>
      <c r="BB20">
        <v>19</v>
      </c>
      <c r="BC20">
        <v>4876</v>
      </c>
      <c r="BD20">
        <v>4745.788</v>
      </c>
      <c r="BE20">
        <v>-130.212</v>
      </c>
    </row>
    <row r="21" spans="1:57">
      <c r="A21">
        <v>20</v>
      </c>
      <c r="B21">
        <v>1075</v>
      </c>
      <c r="C21">
        <v>1344.343</v>
      </c>
      <c r="D21">
        <v>269.343</v>
      </c>
      <c r="F21">
        <v>20</v>
      </c>
      <c r="G21">
        <v>5610</v>
      </c>
      <c r="H21">
        <v>5166.645</v>
      </c>
      <c r="I21">
        <v>-443.355</v>
      </c>
      <c r="K21">
        <v>20</v>
      </c>
      <c r="L21">
        <v>1075</v>
      </c>
      <c r="M21">
        <v>1178.996</v>
      </c>
      <c r="N21">
        <v>103.996</v>
      </c>
      <c r="P21">
        <v>20</v>
      </c>
      <c r="Q21">
        <v>5610</v>
      </c>
      <c r="R21">
        <v>5832.738</v>
      </c>
      <c r="S21">
        <v>222.738</v>
      </c>
      <c r="U21">
        <v>20</v>
      </c>
      <c r="V21">
        <v>1075</v>
      </c>
      <c r="W21">
        <v>995.25</v>
      </c>
      <c r="X21">
        <v>-79.75</v>
      </c>
      <c r="Z21">
        <v>20</v>
      </c>
      <c r="AA21">
        <v>5610</v>
      </c>
      <c r="AB21">
        <v>5621</v>
      </c>
      <c r="AC21">
        <v>11</v>
      </c>
      <c r="AE21">
        <v>20</v>
      </c>
      <c r="AF21">
        <v>1075</v>
      </c>
      <c r="AG21">
        <v>1040.2</v>
      </c>
      <c r="AH21">
        <v>-34.8</v>
      </c>
      <c r="AI21">
        <v>20</v>
      </c>
      <c r="AJ21">
        <v>5610</v>
      </c>
      <c r="AK21">
        <v>5417.333</v>
      </c>
      <c r="AL21">
        <v>-192.667</v>
      </c>
      <c r="AN21">
        <v>20</v>
      </c>
      <c r="AO21">
        <v>1075</v>
      </c>
      <c r="AP21">
        <v>1132.399</v>
      </c>
      <c r="AQ21">
        <v>57.399</v>
      </c>
      <c r="AS21">
        <v>20</v>
      </c>
      <c r="AT21">
        <v>5610</v>
      </c>
      <c r="AU21">
        <v>5555.89</v>
      </c>
      <c r="AV21">
        <v>-54.11</v>
      </c>
      <c r="AW21">
        <v>20</v>
      </c>
      <c r="AX21">
        <v>1075</v>
      </c>
      <c r="AY21">
        <v>1254.963</v>
      </c>
      <c r="AZ21">
        <v>179.963</v>
      </c>
      <c r="BB21">
        <v>20</v>
      </c>
      <c r="BC21">
        <v>5610</v>
      </c>
      <c r="BD21">
        <v>5434.95</v>
      </c>
      <c r="BE21">
        <v>-175.05</v>
      </c>
    </row>
    <row r="22" spans="1:57">
      <c r="A22">
        <v>21</v>
      </c>
      <c r="B22">
        <v>1220</v>
      </c>
      <c r="C22">
        <v>1480.481</v>
      </c>
      <c r="D22">
        <v>260.481</v>
      </c>
      <c r="F22">
        <v>21</v>
      </c>
      <c r="G22">
        <v>6734</v>
      </c>
      <c r="H22">
        <v>6874.518</v>
      </c>
      <c r="I22">
        <v>140.518</v>
      </c>
      <c r="K22">
        <v>21</v>
      </c>
      <c r="L22">
        <v>1220</v>
      </c>
      <c r="M22">
        <v>1303.321</v>
      </c>
      <c r="N22">
        <v>83.321</v>
      </c>
      <c r="P22">
        <v>21</v>
      </c>
      <c r="Q22">
        <v>6734</v>
      </c>
      <c r="R22">
        <v>6750.165</v>
      </c>
      <c r="S22">
        <v>16.165</v>
      </c>
      <c r="U22">
        <v>21</v>
      </c>
      <c r="V22">
        <v>1220</v>
      </c>
      <c r="W22">
        <v>1220</v>
      </c>
      <c r="X22">
        <v>0</v>
      </c>
      <c r="Z22">
        <v>21</v>
      </c>
      <c r="AA22">
        <v>6734</v>
      </c>
      <c r="AB22">
        <v>6675.5</v>
      </c>
      <c r="AC22">
        <v>-58.5</v>
      </c>
      <c r="AE22">
        <v>21</v>
      </c>
      <c r="AF22">
        <v>1220</v>
      </c>
      <c r="AG22">
        <v>1040.2</v>
      </c>
      <c r="AH22">
        <v>-179.8</v>
      </c>
      <c r="AI22">
        <v>21</v>
      </c>
      <c r="AJ22">
        <v>6734</v>
      </c>
      <c r="AK22">
        <v>6456.8</v>
      </c>
      <c r="AL22">
        <v>-277.2</v>
      </c>
      <c r="AN22">
        <v>21</v>
      </c>
      <c r="AO22">
        <v>1220</v>
      </c>
      <c r="AP22">
        <v>1331.97</v>
      </c>
      <c r="AQ22">
        <v>111.97</v>
      </c>
      <c r="AS22">
        <v>21</v>
      </c>
      <c r="AT22">
        <v>6734</v>
      </c>
      <c r="AU22">
        <v>6779.913</v>
      </c>
      <c r="AV22">
        <v>45.913</v>
      </c>
      <c r="AW22">
        <v>21</v>
      </c>
      <c r="AX22">
        <v>1220</v>
      </c>
      <c r="AY22">
        <v>1394.298</v>
      </c>
      <c r="AZ22">
        <v>174.298</v>
      </c>
      <c r="BB22">
        <v>21</v>
      </c>
      <c r="BC22">
        <v>6734</v>
      </c>
      <c r="BD22">
        <v>6820.012</v>
      </c>
      <c r="BE22">
        <v>86.012</v>
      </c>
    </row>
    <row r="23" spans="1:57">
      <c r="A23">
        <v>22</v>
      </c>
      <c r="B23">
        <v>2140</v>
      </c>
      <c r="C23">
        <v>1888.894</v>
      </c>
      <c r="D23">
        <v>-251.106</v>
      </c>
      <c r="F23">
        <v>22</v>
      </c>
      <c r="G23">
        <v>2110</v>
      </c>
      <c r="H23">
        <v>1946.354</v>
      </c>
      <c r="I23">
        <v>-163.646</v>
      </c>
      <c r="K23">
        <v>22</v>
      </c>
      <c r="L23">
        <v>2140</v>
      </c>
      <c r="M23">
        <v>2316.65</v>
      </c>
      <c r="N23">
        <v>176.65</v>
      </c>
      <c r="P23">
        <v>22</v>
      </c>
      <c r="Q23">
        <v>2110</v>
      </c>
      <c r="R23">
        <v>2220.681</v>
      </c>
      <c r="S23">
        <v>110.681</v>
      </c>
      <c r="U23">
        <v>22</v>
      </c>
      <c r="V23">
        <v>2140</v>
      </c>
      <c r="W23">
        <v>2235.333</v>
      </c>
      <c r="X23">
        <v>95.333</v>
      </c>
      <c r="Z23">
        <v>22</v>
      </c>
      <c r="AA23">
        <v>2110</v>
      </c>
      <c r="AB23">
        <v>2150.556</v>
      </c>
      <c r="AC23">
        <v>40.556</v>
      </c>
      <c r="AE23">
        <v>22</v>
      </c>
      <c r="AF23">
        <v>2140</v>
      </c>
      <c r="AG23">
        <v>2218.2</v>
      </c>
      <c r="AH23">
        <v>78.2</v>
      </c>
      <c r="AI23">
        <v>22</v>
      </c>
      <c r="AJ23">
        <v>2110</v>
      </c>
      <c r="AK23">
        <v>2141.5</v>
      </c>
      <c r="AL23">
        <v>31.5</v>
      </c>
      <c r="AN23">
        <v>22</v>
      </c>
      <c r="AO23">
        <v>2140</v>
      </c>
      <c r="AP23">
        <v>1985.853</v>
      </c>
      <c r="AQ23">
        <v>-154.147</v>
      </c>
      <c r="AS23">
        <v>22</v>
      </c>
      <c r="AT23">
        <v>2110</v>
      </c>
      <c r="AU23">
        <v>2102.651</v>
      </c>
      <c r="AV23">
        <v>-7.349</v>
      </c>
      <c r="AW23">
        <v>22</v>
      </c>
      <c r="AX23">
        <v>2140</v>
      </c>
      <c r="AY23">
        <v>1856.846</v>
      </c>
      <c r="AZ23">
        <v>-283.154</v>
      </c>
      <c r="BB23">
        <v>22</v>
      </c>
      <c r="BC23">
        <v>2110</v>
      </c>
      <c r="BD23">
        <v>2077.801</v>
      </c>
      <c r="BE23">
        <v>-32.199</v>
      </c>
    </row>
    <row r="24" spans="1:57">
      <c r="A24">
        <v>23</v>
      </c>
      <c r="B24">
        <v>2156</v>
      </c>
      <c r="C24">
        <v>2025.032</v>
      </c>
      <c r="D24">
        <v>-130.968</v>
      </c>
      <c r="F24">
        <v>23</v>
      </c>
      <c r="G24">
        <v>2208</v>
      </c>
      <c r="H24">
        <v>2474.69</v>
      </c>
      <c r="I24">
        <v>266.69</v>
      </c>
      <c r="K24">
        <v>23</v>
      </c>
      <c r="L24">
        <v>2156</v>
      </c>
      <c r="M24">
        <v>2288.469</v>
      </c>
      <c r="N24">
        <v>132.469</v>
      </c>
      <c r="P24">
        <v>23</v>
      </c>
      <c r="Q24">
        <v>2208</v>
      </c>
      <c r="R24">
        <v>2203.811</v>
      </c>
      <c r="S24">
        <v>-4.189</v>
      </c>
      <c r="U24">
        <v>23</v>
      </c>
      <c r="V24">
        <v>2156</v>
      </c>
      <c r="W24">
        <v>2235.333</v>
      </c>
      <c r="X24">
        <v>79.333</v>
      </c>
      <c r="Z24">
        <v>23</v>
      </c>
      <c r="AA24">
        <v>2208</v>
      </c>
      <c r="AB24">
        <v>2150.556</v>
      </c>
      <c r="AC24">
        <v>-57.444</v>
      </c>
      <c r="AE24">
        <v>23</v>
      </c>
      <c r="AF24">
        <v>2156</v>
      </c>
      <c r="AG24">
        <v>2218.2</v>
      </c>
      <c r="AH24">
        <v>62.2</v>
      </c>
      <c r="AI24">
        <v>23</v>
      </c>
      <c r="AJ24">
        <v>2208</v>
      </c>
      <c r="AK24">
        <v>2366</v>
      </c>
      <c r="AL24">
        <v>158</v>
      </c>
      <c r="AN24">
        <v>23</v>
      </c>
      <c r="AO24">
        <v>2156</v>
      </c>
      <c r="AP24">
        <v>2116.529</v>
      </c>
      <c r="AQ24">
        <v>-39.471</v>
      </c>
      <c r="AS24">
        <v>23</v>
      </c>
      <c r="AT24">
        <v>2208</v>
      </c>
      <c r="AU24">
        <v>2203.819</v>
      </c>
      <c r="AV24">
        <v>-4.181</v>
      </c>
      <c r="AW24">
        <v>23</v>
      </c>
      <c r="AX24">
        <v>2156</v>
      </c>
      <c r="AY24">
        <v>2017.562</v>
      </c>
      <c r="AZ24">
        <v>-138.438</v>
      </c>
      <c r="BB24">
        <v>23</v>
      </c>
      <c r="BC24">
        <v>2208</v>
      </c>
      <c r="BD24">
        <v>2221.214</v>
      </c>
      <c r="BE24">
        <v>13.214</v>
      </c>
    </row>
    <row r="25" spans="1:57">
      <c r="A25">
        <v>24</v>
      </c>
      <c r="B25">
        <v>2210</v>
      </c>
      <c r="C25">
        <v>2161.169</v>
      </c>
      <c r="D25">
        <v>-48.831</v>
      </c>
      <c r="F25">
        <v>24</v>
      </c>
      <c r="G25">
        <v>2390</v>
      </c>
      <c r="H25">
        <v>2885.618</v>
      </c>
      <c r="I25">
        <v>495.618</v>
      </c>
      <c r="K25">
        <v>24</v>
      </c>
      <c r="L25">
        <v>2210</v>
      </c>
      <c r="M25">
        <v>2236.127</v>
      </c>
      <c r="N25">
        <v>26.127</v>
      </c>
      <c r="P25">
        <v>24</v>
      </c>
      <c r="Q25">
        <v>2390</v>
      </c>
      <c r="R25">
        <v>2323.622</v>
      </c>
      <c r="S25">
        <v>-66.378</v>
      </c>
      <c r="U25">
        <v>24</v>
      </c>
      <c r="V25">
        <v>2210</v>
      </c>
      <c r="W25">
        <v>2235.333</v>
      </c>
      <c r="X25">
        <v>25.333</v>
      </c>
      <c r="Z25">
        <v>24</v>
      </c>
      <c r="AA25">
        <v>2390</v>
      </c>
      <c r="AB25">
        <v>2389.833</v>
      </c>
      <c r="AC25">
        <v>-0.167</v>
      </c>
      <c r="AE25">
        <v>24</v>
      </c>
      <c r="AF25">
        <v>2210</v>
      </c>
      <c r="AG25">
        <v>2218.2</v>
      </c>
      <c r="AH25">
        <v>8.2</v>
      </c>
      <c r="AI25">
        <v>24</v>
      </c>
      <c r="AJ25">
        <v>2390</v>
      </c>
      <c r="AK25">
        <v>2366</v>
      </c>
      <c r="AL25">
        <v>-24</v>
      </c>
      <c r="AN25">
        <v>24</v>
      </c>
      <c r="AO25">
        <v>2210</v>
      </c>
      <c r="AP25">
        <v>2202.47</v>
      </c>
      <c r="AQ25">
        <v>-7.53</v>
      </c>
      <c r="AS25">
        <v>24</v>
      </c>
      <c r="AT25">
        <v>2390</v>
      </c>
      <c r="AU25">
        <v>2383.52</v>
      </c>
      <c r="AV25">
        <v>-6.48</v>
      </c>
      <c r="AW25">
        <v>24</v>
      </c>
      <c r="AX25">
        <v>2210</v>
      </c>
      <c r="AY25">
        <v>2177.579</v>
      </c>
      <c r="AZ25">
        <v>-32.421</v>
      </c>
      <c r="BB25">
        <v>24</v>
      </c>
      <c r="BC25">
        <v>2390</v>
      </c>
      <c r="BD25">
        <v>2371.272</v>
      </c>
      <c r="BE25">
        <v>-18.728</v>
      </c>
    </row>
    <row r="26" spans="1:57">
      <c r="A26">
        <v>25</v>
      </c>
      <c r="B26">
        <v>2275</v>
      </c>
      <c r="C26">
        <v>2297.307</v>
      </c>
      <c r="D26">
        <v>22.307</v>
      </c>
      <c r="F26">
        <v>25</v>
      </c>
      <c r="G26">
        <v>490</v>
      </c>
      <c r="H26">
        <v>-130.933</v>
      </c>
      <c r="I26">
        <v>-620.933</v>
      </c>
      <c r="K26">
        <v>25</v>
      </c>
      <c r="L26">
        <v>2275</v>
      </c>
      <c r="M26">
        <v>2286.191</v>
      </c>
      <c r="N26">
        <v>11.191</v>
      </c>
      <c r="P26">
        <v>25</v>
      </c>
      <c r="Q26">
        <v>490</v>
      </c>
      <c r="R26">
        <v>631.05</v>
      </c>
      <c r="S26">
        <v>141.05</v>
      </c>
      <c r="U26">
        <v>25</v>
      </c>
      <c r="V26">
        <v>2275</v>
      </c>
      <c r="W26">
        <v>2235.333</v>
      </c>
      <c r="X26">
        <v>-39.667</v>
      </c>
      <c r="Z26">
        <v>25</v>
      </c>
      <c r="AA26">
        <v>490</v>
      </c>
      <c r="AB26">
        <v>576.333</v>
      </c>
      <c r="AC26">
        <v>86.333</v>
      </c>
      <c r="AE26">
        <v>25</v>
      </c>
      <c r="AF26">
        <v>2275</v>
      </c>
      <c r="AG26">
        <v>2218.2</v>
      </c>
      <c r="AH26">
        <v>-56.8</v>
      </c>
      <c r="AI26">
        <v>25</v>
      </c>
      <c r="AJ26">
        <v>490</v>
      </c>
      <c r="AK26">
        <v>540.333</v>
      </c>
      <c r="AL26">
        <v>50.333</v>
      </c>
      <c r="AN26">
        <v>25</v>
      </c>
      <c r="AO26">
        <v>2275</v>
      </c>
      <c r="AP26">
        <v>2279.573</v>
      </c>
      <c r="AQ26">
        <v>4.573</v>
      </c>
      <c r="AS26">
        <v>25</v>
      </c>
      <c r="AT26">
        <v>490</v>
      </c>
      <c r="AU26">
        <v>461.406</v>
      </c>
      <c r="AV26">
        <v>-28.594</v>
      </c>
      <c r="AW26">
        <v>25</v>
      </c>
      <c r="AX26">
        <v>2275</v>
      </c>
      <c r="AY26">
        <v>2334.754</v>
      </c>
      <c r="AZ26">
        <v>59.754</v>
      </c>
      <c r="BB26">
        <v>25</v>
      </c>
      <c r="BC26">
        <v>490</v>
      </c>
      <c r="BD26">
        <v>497.585</v>
      </c>
      <c r="BE26">
        <v>7.585</v>
      </c>
    </row>
    <row r="27" spans="1:57">
      <c r="A27">
        <v>26</v>
      </c>
      <c r="B27">
        <v>2310</v>
      </c>
      <c r="C27">
        <v>2433.445</v>
      </c>
      <c r="D27">
        <v>123.445</v>
      </c>
      <c r="F27">
        <v>26</v>
      </c>
      <c r="G27">
        <v>588</v>
      </c>
      <c r="H27">
        <v>45.179</v>
      </c>
      <c r="I27">
        <v>-542.821</v>
      </c>
      <c r="K27">
        <v>26</v>
      </c>
      <c r="L27">
        <v>2310</v>
      </c>
      <c r="M27">
        <v>2317.106</v>
      </c>
      <c r="N27">
        <v>7.106</v>
      </c>
      <c r="P27">
        <v>26</v>
      </c>
      <c r="Q27">
        <v>588</v>
      </c>
      <c r="R27">
        <v>633.329</v>
      </c>
      <c r="S27">
        <v>45.329</v>
      </c>
      <c r="U27">
        <v>26</v>
      </c>
      <c r="V27">
        <v>2310</v>
      </c>
      <c r="W27">
        <v>2235.333</v>
      </c>
      <c r="X27">
        <v>-74.667</v>
      </c>
      <c r="Z27">
        <v>26</v>
      </c>
      <c r="AA27">
        <v>588</v>
      </c>
      <c r="AB27">
        <v>576.333</v>
      </c>
      <c r="AC27">
        <v>-11.667</v>
      </c>
      <c r="AE27">
        <v>26</v>
      </c>
      <c r="AF27">
        <v>2310</v>
      </c>
      <c r="AG27">
        <v>2218.2</v>
      </c>
      <c r="AH27">
        <v>-91.8</v>
      </c>
      <c r="AI27">
        <v>26</v>
      </c>
      <c r="AJ27">
        <v>588</v>
      </c>
      <c r="AK27">
        <v>540.333</v>
      </c>
      <c r="AL27">
        <v>-47.667</v>
      </c>
      <c r="AN27">
        <v>26</v>
      </c>
      <c r="AO27">
        <v>2310</v>
      </c>
      <c r="AP27">
        <v>2387.259</v>
      </c>
      <c r="AQ27">
        <v>77.259</v>
      </c>
      <c r="AS27">
        <v>26</v>
      </c>
      <c r="AT27">
        <v>588</v>
      </c>
      <c r="AU27">
        <v>553.415</v>
      </c>
      <c r="AV27">
        <v>-34.585</v>
      </c>
      <c r="AW27">
        <v>26</v>
      </c>
      <c r="AX27">
        <v>2310</v>
      </c>
      <c r="AY27">
        <v>2487.17</v>
      </c>
      <c r="AZ27">
        <v>177.17</v>
      </c>
      <c r="BB27">
        <v>26</v>
      </c>
      <c r="BC27">
        <v>588</v>
      </c>
      <c r="BD27">
        <v>531.219</v>
      </c>
      <c r="BE27">
        <v>-56.781</v>
      </c>
    </row>
    <row r="28" spans="1:57">
      <c r="A28">
        <v>27</v>
      </c>
      <c r="B28">
        <v>2321</v>
      </c>
      <c r="C28">
        <v>2569.582</v>
      </c>
      <c r="D28">
        <v>248.582</v>
      </c>
      <c r="F28">
        <v>27</v>
      </c>
      <c r="G28">
        <v>670</v>
      </c>
      <c r="H28">
        <v>573.515</v>
      </c>
      <c r="I28">
        <v>-96.485</v>
      </c>
      <c r="K28">
        <v>27</v>
      </c>
      <c r="L28">
        <v>2321</v>
      </c>
      <c r="M28">
        <v>2510.493</v>
      </c>
      <c r="N28">
        <v>189.493</v>
      </c>
      <c r="P28">
        <v>27</v>
      </c>
      <c r="Q28">
        <v>670</v>
      </c>
      <c r="R28">
        <v>901.384</v>
      </c>
      <c r="S28">
        <v>231.384</v>
      </c>
      <c r="U28">
        <v>27</v>
      </c>
      <c r="V28">
        <v>2321</v>
      </c>
      <c r="W28">
        <v>2235.333</v>
      </c>
      <c r="X28">
        <v>-85.667</v>
      </c>
      <c r="Z28">
        <v>27</v>
      </c>
      <c r="AA28">
        <v>670</v>
      </c>
      <c r="AB28">
        <v>760.6</v>
      </c>
      <c r="AC28">
        <v>90.6</v>
      </c>
      <c r="AE28">
        <v>27</v>
      </c>
      <c r="AF28">
        <v>2321</v>
      </c>
      <c r="AG28">
        <v>3040.667</v>
      </c>
      <c r="AH28">
        <v>719.667</v>
      </c>
      <c r="AI28">
        <v>27</v>
      </c>
      <c r="AJ28">
        <v>670</v>
      </c>
      <c r="AK28">
        <v>718.5</v>
      </c>
      <c r="AL28">
        <v>48.5</v>
      </c>
      <c r="AN28">
        <v>27</v>
      </c>
      <c r="AO28">
        <v>2321</v>
      </c>
      <c r="AP28">
        <v>2546.867</v>
      </c>
      <c r="AQ28">
        <v>225.867</v>
      </c>
      <c r="AS28">
        <v>27</v>
      </c>
      <c r="AT28">
        <v>670</v>
      </c>
      <c r="AU28">
        <v>692.225</v>
      </c>
      <c r="AV28">
        <v>22.225</v>
      </c>
      <c r="AW28">
        <v>27</v>
      </c>
      <c r="AX28">
        <v>2321</v>
      </c>
      <c r="AY28">
        <v>2633.175</v>
      </c>
      <c r="AZ28">
        <v>312.175</v>
      </c>
      <c r="BB28">
        <v>27</v>
      </c>
      <c r="BC28">
        <v>670</v>
      </c>
      <c r="BD28">
        <v>697.596</v>
      </c>
      <c r="BE28">
        <v>27.596</v>
      </c>
    </row>
    <row r="29" spans="1:57">
      <c r="A29">
        <v>28</v>
      </c>
      <c r="B29">
        <v>2776</v>
      </c>
      <c r="C29">
        <v>2705.72</v>
      </c>
      <c r="D29">
        <v>-70.28</v>
      </c>
      <c r="F29">
        <v>28</v>
      </c>
      <c r="G29">
        <v>750</v>
      </c>
      <c r="H29">
        <v>690.923</v>
      </c>
      <c r="I29">
        <v>-59.077</v>
      </c>
      <c r="K29">
        <v>28</v>
      </c>
      <c r="L29">
        <v>2776</v>
      </c>
      <c r="M29">
        <v>2806.341</v>
      </c>
      <c r="N29">
        <v>30.341</v>
      </c>
      <c r="P29">
        <v>28</v>
      </c>
      <c r="Q29">
        <v>750</v>
      </c>
      <c r="R29">
        <v>902.417</v>
      </c>
      <c r="S29">
        <v>152.417</v>
      </c>
      <c r="U29">
        <v>28</v>
      </c>
      <c r="V29">
        <v>2776</v>
      </c>
      <c r="W29">
        <v>2776</v>
      </c>
      <c r="X29">
        <v>0</v>
      </c>
      <c r="Z29">
        <v>28</v>
      </c>
      <c r="AA29">
        <v>750</v>
      </c>
      <c r="AB29">
        <v>760.6</v>
      </c>
      <c r="AC29">
        <v>10.6</v>
      </c>
      <c r="AE29">
        <v>28</v>
      </c>
      <c r="AF29">
        <v>2776</v>
      </c>
      <c r="AG29">
        <v>3040.667</v>
      </c>
      <c r="AH29">
        <v>264.667</v>
      </c>
      <c r="AI29">
        <v>28</v>
      </c>
      <c r="AJ29">
        <v>750</v>
      </c>
      <c r="AK29">
        <v>718.5</v>
      </c>
      <c r="AL29">
        <v>-31.5</v>
      </c>
      <c r="AN29">
        <v>28</v>
      </c>
      <c r="AO29">
        <v>2776</v>
      </c>
      <c r="AP29">
        <v>2750.059</v>
      </c>
      <c r="AQ29">
        <v>-25.941</v>
      </c>
      <c r="AS29">
        <v>28</v>
      </c>
      <c r="AT29">
        <v>750</v>
      </c>
      <c r="AU29">
        <v>737.655</v>
      </c>
      <c r="AV29">
        <v>-12.345</v>
      </c>
      <c r="AW29">
        <v>28</v>
      </c>
      <c r="AX29">
        <v>2776</v>
      </c>
      <c r="AY29">
        <v>2771.405</v>
      </c>
      <c r="AZ29">
        <v>-4.595</v>
      </c>
      <c r="BB29">
        <v>28</v>
      </c>
      <c r="BC29">
        <v>750</v>
      </c>
      <c r="BD29">
        <v>726.738</v>
      </c>
      <c r="BE29">
        <v>-23.262</v>
      </c>
    </row>
    <row r="30" spans="1:57">
      <c r="A30">
        <v>29</v>
      </c>
      <c r="B30">
        <v>3202</v>
      </c>
      <c r="C30">
        <v>2841.858</v>
      </c>
      <c r="D30">
        <v>-360.142</v>
      </c>
      <c r="F30">
        <v>29</v>
      </c>
      <c r="G30">
        <v>2321</v>
      </c>
      <c r="H30">
        <v>3191.964</v>
      </c>
      <c r="I30">
        <v>870.964</v>
      </c>
      <c r="K30">
        <v>29</v>
      </c>
      <c r="L30">
        <v>3202</v>
      </c>
      <c r="M30">
        <v>3082.045</v>
      </c>
      <c r="N30">
        <v>-119.955</v>
      </c>
      <c r="P30">
        <v>29</v>
      </c>
      <c r="Q30">
        <v>2321</v>
      </c>
      <c r="R30">
        <v>2626.346</v>
      </c>
      <c r="S30">
        <v>305.346</v>
      </c>
      <c r="U30">
        <v>29</v>
      </c>
      <c r="V30">
        <v>3202</v>
      </c>
      <c r="W30">
        <v>3286.75</v>
      </c>
      <c r="X30">
        <v>84.75</v>
      </c>
      <c r="Z30">
        <v>29</v>
      </c>
      <c r="AA30">
        <v>2321</v>
      </c>
      <c r="AB30">
        <v>2405</v>
      </c>
      <c r="AC30">
        <v>84</v>
      </c>
      <c r="AE30">
        <v>29</v>
      </c>
      <c r="AF30">
        <v>3202</v>
      </c>
      <c r="AG30">
        <v>3040.667</v>
      </c>
      <c r="AH30">
        <v>-161.333</v>
      </c>
      <c r="AI30">
        <v>29</v>
      </c>
      <c r="AJ30">
        <v>2321</v>
      </c>
      <c r="AK30">
        <v>3118</v>
      </c>
      <c r="AL30">
        <v>797</v>
      </c>
      <c r="AN30">
        <v>29</v>
      </c>
      <c r="AO30">
        <v>3202</v>
      </c>
      <c r="AP30">
        <v>2963.694</v>
      </c>
      <c r="AQ30">
        <v>-238.306</v>
      </c>
      <c r="AS30">
        <v>29</v>
      </c>
      <c r="AT30">
        <v>2321</v>
      </c>
      <c r="AU30">
        <v>2474.972</v>
      </c>
      <c r="AV30">
        <v>153.972</v>
      </c>
      <c r="AW30">
        <v>29</v>
      </c>
      <c r="AX30">
        <v>3202</v>
      </c>
      <c r="AY30">
        <v>2900.801</v>
      </c>
      <c r="AZ30">
        <v>-301.199</v>
      </c>
      <c r="BB30">
        <v>29</v>
      </c>
      <c r="BC30">
        <v>2321</v>
      </c>
      <c r="BD30">
        <v>2164.256</v>
      </c>
      <c r="BE30">
        <v>-156.744</v>
      </c>
    </row>
    <row r="31" spans="1:57">
      <c r="A31">
        <v>30</v>
      </c>
      <c r="B31">
        <v>3288</v>
      </c>
      <c r="C31">
        <v>3250.271</v>
      </c>
      <c r="D31">
        <v>-37.729</v>
      </c>
      <c r="F31">
        <v>30</v>
      </c>
      <c r="G31">
        <v>5540</v>
      </c>
      <c r="H31">
        <v>4896.954</v>
      </c>
      <c r="I31">
        <v>-643.046</v>
      </c>
      <c r="K31">
        <v>30</v>
      </c>
      <c r="L31">
        <v>3288</v>
      </c>
      <c r="M31">
        <v>3233.86</v>
      </c>
      <c r="N31">
        <v>-54.14</v>
      </c>
      <c r="P31">
        <v>30</v>
      </c>
      <c r="Q31">
        <v>5540</v>
      </c>
      <c r="R31">
        <v>5420.134</v>
      </c>
      <c r="S31">
        <v>-119.866</v>
      </c>
      <c r="U31">
        <v>30</v>
      </c>
      <c r="V31">
        <v>3288</v>
      </c>
      <c r="W31">
        <v>3286.75</v>
      </c>
      <c r="X31">
        <v>-1.25</v>
      </c>
      <c r="Z31">
        <v>30</v>
      </c>
      <c r="AA31">
        <v>5540</v>
      </c>
      <c r="AB31">
        <v>5510</v>
      </c>
      <c r="AC31">
        <v>-30</v>
      </c>
      <c r="AE31">
        <v>30</v>
      </c>
      <c r="AF31">
        <v>3288</v>
      </c>
      <c r="AG31">
        <v>3040.667</v>
      </c>
      <c r="AH31">
        <v>-247.333</v>
      </c>
      <c r="AI31">
        <v>30</v>
      </c>
      <c r="AJ31">
        <v>5540</v>
      </c>
      <c r="AK31">
        <v>5477.545</v>
      </c>
      <c r="AL31">
        <v>-62.455</v>
      </c>
      <c r="AN31">
        <v>30</v>
      </c>
      <c r="AO31">
        <v>3288</v>
      </c>
      <c r="AP31">
        <v>3334.438</v>
      </c>
      <c r="AQ31">
        <v>46.438</v>
      </c>
      <c r="AS31">
        <v>30</v>
      </c>
      <c r="AT31">
        <v>5540</v>
      </c>
      <c r="AU31">
        <v>5514.553</v>
      </c>
      <c r="AV31">
        <v>-25.447</v>
      </c>
      <c r="AW31">
        <v>30</v>
      </c>
      <c r="AX31">
        <v>3288</v>
      </c>
      <c r="AY31">
        <v>3229.991</v>
      </c>
      <c r="AZ31">
        <v>-58.009</v>
      </c>
      <c r="BB31">
        <v>30</v>
      </c>
      <c r="BC31">
        <v>5540</v>
      </c>
      <c r="BD31">
        <v>5353.439</v>
      </c>
      <c r="BE31">
        <v>-186.561</v>
      </c>
    </row>
    <row r="32" spans="1:57">
      <c r="A32">
        <v>31</v>
      </c>
      <c r="B32">
        <v>3334</v>
      </c>
      <c r="C32">
        <v>3386.408</v>
      </c>
      <c r="D32">
        <v>52.408</v>
      </c>
      <c r="F32">
        <v>31</v>
      </c>
      <c r="G32">
        <v>5841</v>
      </c>
      <c r="H32">
        <v>5816.059</v>
      </c>
      <c r="I32">
        <v>-24.941</v>
      </c>
      <c r="K32">
        <v>31</v>
      </c>
      <c r="L32">
        <v>3334</v>
      </c>
      <c r="M32">
        <v>3291.645</v>
      </c>
      <c r="N32">
        <v>-42.355</v>
      </c>
      <c r="P32">
        <v>31</v>
      </c>
      <c r="Q32">
        <v>5841</v>
      </c>
      <c r="R32">
        <v>5511.182</v>
      </c>
      <c r="S32">
        <v>-329.818</v>
      </c>
      <c r="U32">
        <v>31</v>
      </c>
      <c r="V32">
        <v>3334</v>
      </c>
      <c r="W32">
        <v>3286.75</v>
      </c>
      <c r="X32">
        <v>-47.25</v>
      </c>
      <c r="Z32">
        <v>31</v>
      </c>
      <c r="AA32">
        <v>5841</v>
      </c>
      <c r="AB32">
        <v>5770.4</v>
      </c>
      <c r="AC32">
        <v>-70.6</v>
      </c>
      <c r="AE32">
        <v>31</v>
      </c>
      <c r="AF32">
        <v>3334</v>
      </c>
      <c r="AG32">
        <v>3040.667</v>
      </c>
      <c r="AH32">
        <v>-293.333</v>
      </c>
      <c r="AI32">
        <v>31</v>
      </c>
      <c r="AJ32">
        <v>5841</v>
      </c>
      <c r="AK32">
        <v>5477.545</v>
      </c>
      <c r="AL32">
        <v>-363.455</v>
      </c>
      <c r="AN32">
        <v>31</v>
      </c>
      <c r="AO32">
        <v>3334</v>
      </c>
      <c r="AP32">
        <v>3346.102</v>
      </c>
      <c r="AQ32">
        <v>12.102</v>
      </c>
      <c r="AS32">
        <v>31</v>
      </c>
      <c r="AT32">
        <v>5841</v>
      </c>
      <c r="AU32">
        <v>5782.156</v>
      </c>
      <c r="AV32">
        <v>-58.844</v>
      </c>
      <c r="AW32">
        <v>31</v>
      </c>
      <c r="AX32">
        <v>3334</v>
      </c>
      <c r="AY32">
        <v>3319.506</v>
      </c>
      <c r="AZ32">
        <v>-14.494</v>
      </c>
      <c r="BB32">
        <v>31</v>
      </c>
      <c r="BC32">
        <v>5841</v>
      </c>
      <c r="BD32">
        <v>5840.803</v>
      </c>
      <c r="BE32">
        <v>-0.197</v>
      </c>
    </row>
    <row r="33" spans="1:57">
      <c r="A33">
        <v>32</v>
      </c>
      <c r="B33">
        <v>3323</v>
      </c>
      <c r="C33">
        <v>3522.546</v>
      </c>
      <c r="D33">
        <v>199.546</v>
      </c>
      <c r="F33">
        <v>32</v>
      </c>
      <c r="G33">
        <v>1020</v>
      </c>
      <c r="H33">
        <v>1208.206</v>
      </c>
      <c r="I33">
        <v>188.206</v>
      </c>
      <c r="K33">
        <v>32</v>
      </c>
      <c r="L33">
        <v>3323</v>
      </c>
      <c r="M33">
        <v>3343.47</v>
      </c>
      <c r="N33">
        <v>20.47</v>
      </c>
      <c r="P33">
        <v>32</v>
      </c>
      <c r="Q33">
        <v>1020</v>
      </c>
      <c r="R33">
        <v>1174.556</v>
      </c>
      <c r="S33">
        <v>154.556</v>
      </c>
      <c r="U33">
        <v>32</v>
      </c>
      <c r="V33">
        <v>3323</v>
      </c>
      <c r="W33">
        <v>3286.75</v>
      </c>
      <c r="X33">
        <v>-36.25</v>
      </c>
      <c r="Z33">
        <v>32</v>
      </c>
      <c r="AA33">
        <v>1020</v>
      </c>
      <c r="AB33">
        <v>995.25</v>
      </c>
      <c r="AC33">
        <v>-24.75</v>
      </c>
      <c r="AE33">
        <v>32</v>
      </c>
      <c r="AF33">
        <v>3323</v>
      </c>
      <c r="AG33">
        <v>3040.667</v>
      </c>
      <c r="AH33">
        <v>-282.333</v>
      </c>
      <c r="AI33">
        <v>32</v>
      </c>
      <c r="AJ33">
        <v>1020</v>
      </c>
      <c r="AK33">
        <v>1040.2</v>
      </c>
      <c r="AL33">
        <v>20.2</v>
      </c>
      <c r="AN33">
        <v>32</v>
      </c>
      <c r="AO33">
        <v>3323</v>
      </c>
      <c r="AP33">
        <v>3332.756</v>
      </c>
      <c r="AQ33">
        <v>9.756</v>
      </c>
      <c r="AS33">
        <v>32</v>
      </c>
      <c r="AT33">
        <v>1020</v>
      </c>
      <c r="AU33">
        <v>996.451</v>
      </c>
      <c r="AV33">
        <v>-23.549</v>
      </c>
      <c r="AW33">
        <v>32</v>
      </c>
      <c r="AX33">
        <v>3323</v>
      </c>
      <c r="AY33">
        <v>3399.284</v>
      </c>
      <c r="AZ33">
        <v>76.284</v>
      </c>
      <c r="BB33">
        <v>32</v>
      </c>
      <c r="BC33">
        <v>1020</v>
      </c>
      <c r="BD33">
        <v>1127.175</v>
      </c>
      <c r="BE33">
        <v>107.175</v>
      </c>
    </row>
    <row r="34" spans="1:57">
      <c r="A34">
        <v>33</v>
      </c>
      <c r="B34">
        <v>4205</v>
      </c>
      <c r="C34">
        <v>5829.252</v>
      </c>
      <c r="D34">
        <v>1624.252</v>
      </c>
      <c r="F34">
        <v>33</v>
      </c>
      <c r="G34">
        <v>2134</v>
      </c>
      <c r="H34">
        <v>1752.756</v>
      </c>
      <c r="I34">
        <v>-381.244</v>
      </c>
      <c r="K34">
        <v>33</v>
      </c>
      <c r="L34">
        <v>4205</v>
      </c>
      <c r="M34">
        <v>4508.063</v>
      </c>
      <c r="N34">
        <v>303.063</v>
      </c>
      <c r="P34">
        <v>33</v>
      </c>
      <c r="Q34">
        <v>2134</v>
      </c>
      <c r="R34">
        <v>2235.621</v>
      </c>
      <c r="S34">
        <v>101.621</v>
      </c>
      <c r="U34">
        <v>33</v>
      </c>
      <c r="V34">
        <v>4205</v>
      </c>
      <c r="W34">
        <v>4205</v>
      </c>
      <c r="X34">
        <v>0</v>
      </c>
      <c r="Z34">
        <v>33</v>
      </c>
      <c r="AA34">
        <v>2134</v>
      </c>
      <c r="AB34">
        <v>2235.333</v>
      </c>
      <c r="AC34">
        <v>101.333</v>
      </c>
      <c r="AE34">
        <v>33</v>
      </c>
      <c r="AF34">
        <v>4205</v>
      </c>
      <c r="AG34">
        <v>5040.2</v>
      </c>
      <c r="AH34">
        <v>835.2</v>
      </c>
      <c r="AI34">
        <v>33</v>
      </c>
      <c r="AJ34">
        <v>2134</v>
      </c>
      <c r="AK34">
        <v>2218.2</v>
      </c>
      <c r="AL34">
        <v>84.2</v>
      </c>
      <c r="AN34">
        <v>33</v>
      </c>
      <c r="AO34">
        <v>4205</v>
      </c>
      <c r="AP34">
        <v>4299.03</v>
      </c>
      <c r="AQ34">
        <v>94.03</v>
      </c>
      <c r="AS34">
        <v>33</v>
      </c>
      <c r="AT34">
        <v>2134</v>
      </c>
      <c r="AU34">
        <v>1797.316</v>
      </c>
      <c r="AV34">
        <v>-336.684</v>
      </c>
      <c r="AW34">
        <v>33</v>
      </c>
      <c r="AX34">
        <v>4205</v>
      </c>
      <c r="AY34">
        <v>4615.366</v>
      </c>
      <c r="AZ34">
        <v>410.366</v>
      </c>
      <c r="BB34">
        <v>33</v>
      </c>
      <c r="BC34">
        <v>2134</v>
      </c>
      <c r="BD34">
        <v>1697.753</v>
      </c>
      <c r="BE34">
        <v>-436.247</v>
      </c>
    </row>
    <row r="35" spans="1:57">
      <c r="A35">
        <v>34</v>
      </c>
      <c r="B35">
        <v>5201</v>
      </c>
      <c r="C35">
        <v>6163.577</v>
      </c>
      <c r="D35">
        <v>962.577</v>
      </c>
      <c r="F35">
        <v>34</v>
      </c>
      <c r="G35">
        <v>3247</v>
      </c>
      <c r="H35">
        <v>3114.133</v>
      </c>
      <c r="I35">
        <v>-132.867</v>
      </c>
      <c r="K35">
        <v>34</v>
      </c>
      <c r="L35">
        <v>5201</v>
      </c>
      <c r="M35">
        <v>5118.38</v>
      </c>
      <c r="N35">
        <v>-82.62</v>
      </c>
      <c r="P35">
        <v>34</v>
      </c>
      <c r="Q35">
        <v>3247</v>
      </c>
      <c r="R35">
        <v>3119.552</v>
      </c>
      <c r="S35">
        <v>-127.448</v>
      </c>
      <c r="U35">
        <v>34</v>
      </c>
      <c r="V35">
        <v>5201</v>
      </c>
      <c r="W35">
        <v>5201</v>
      </c>
      <c r="X35">
        <v>0</v>
      </c>
      <c r="Z35">
        <v>34</v>
      </c>
      <c r="AA35">
        <v>3247</v>
      </c>
      <c r="AB35">
        <v>3286.75</v>
      </c>
      <c r="AC35">
        <v>39.75</v>
      </c>
      <c r="AE35">
        <v>34</v>
      </c>
      <c r="AF35">
        <v>5201</v>
      </c>
      <c r="AG35">
        <v>5040.2</v>
      </c>
      <c r="AH35">
        <v>-160.8</v>
      </c>
      <c r="AI35">
        <v>34</v>
      </c>
      <c r="AJ35">
        <v>3247</v>
      </c>
      <c r="AK35">
        <v>3040.667</v>
      </c>
      <c r="AL35">
        <v>-206.333</v>
      </c>
      <c r="AN35">
        <v>34</v>
      </c>
      <c r="AO35">
        <v>5201</v>
      </c>
      <c r="AP35">
        <v>5079.277</v>
      </c>
      <c r="AQ35">
        <v>-121.723</v>
      </c>
      <c r="AS35">
        <v>34</v>
      </c>
      <c r="AT35">
        <v>3247</v>
      </c>
      <c r="AU35">
        <v>3273.015</v>
      </c>
      <c r="AV35">
        <v>26.015</v>
      </c>
      <c r="AW35">
        <v>34</v>
      </c>
      <c r="AX35">
        <v>5201</v>
      </c>
      <c r="AY35">
        <v>5350.172</v>
      </c>
      <c r="AZ35">
        <v>149.172</v>
      </c>
      <c r="BB35">
        <v>34</v>
      </c>
      <c r="BC35">
        <v>3247</v>
      </c>
      <c r="BD35">
        <v>3130.395</v>
      </c>
      <c r="BE35">
        <v>-116.605</v>
      </c>
    </row>
    <row r="36" spans="1:57">
      <c r="A36">
        <v>35</v>
      </c>
      <c r="B36">
        <v>5789</v>
      </c>
      <c r="C36">
        <v>6497.902</v>
      </c>
      <c r="D36">
        <v>708.902</v>
      </c>
      <c r="F36">
        <v>35</v>
      </c>
      <c r="G36">
        <v>6302</v>
      </c>
      <c r="H36">
        <v>6832.227</v>
      </c>
      <c r="I36">
        <v>530.227</v>
      </c>
      <c r="K36">
        <v>35</v>
      </c>
      <c r="L36">
        <v>5789</v>
      </c>
      <c r="M36">
        <v>5770.23</v>
      </c>
      <c r="N36">
        <v>-18.77</v>
      </c>
      <c r="P36">
        <v>35</v>
      </c>
      <c r="Q36">
        <v>6302</v>
      </c>
      <c r="R36">
        <v>6546.963</v>
      </c>
      <c r="S36">
        <v>244.963</v>
      </c>
      <c r="U36">
        <v>35</v>
      </c>
      <c r="V36">
        <v>5789</v>
      </c>
      <c r="W36">
        <v>5789</v>
      </c>
      <c r="X36">
        <v>0</v>
      </c>
      <c r="Z36">
        <v>35</v>
      </c>
      <c r="AA36">
        <v>6302</v>
      </c>
      <c r="AB36">
        <v>7422</v>
      </c>
      <c r="AC36">
        <v>1120</v>
      </c>
      <c r="AE36">
        <v>35</v>
      </c>
      <c r="AF36">
        <v>5789</v>
      </c>
      <c r="AG36">
        <v>5040.2</v>
      </c>
      <c r="AH36">
        <v>-748.8</v>
      </c>
      <c r="AI36">
        <v>35</v>
      </c>
      <c r="AJ36">
        <v>6302</v>
      </c>
      <c r="AK36">
        <v>7248.667</v>
      </c>
      <c r="AL36">
        <v>946.667</v>
      </c>
      <c r="AN36">
        <v>35</v>
      </c>
      <c r="AO36">
        <v>5789</v>
      </c>
      <c r="AP36">
        <v>5941.744</v>
      </c>
      <c r="AQ36">
        <v>152.744</v>
      </c>
      <c r="AS36">
        <v>35</v>
      </c>
      <c r="AT36">
        <v>6302</v>
      </c>
      <c r="AU36">
        <v>6813.335</v>
      </c>
      <c r="AV36">
        <v>511.335</v>
      </c>
      <c r="AW36">
        <v>35</v>
      </c>
      <c r="AX36">
        <v>5789</v>
      </c>
      <c r="AY36">
        <v>6049.757</v>
      </c>
      <c r="AZ36">
        <v>260.757</v>
      </c>
      <c r="BB36">
        <v>35</v>
      </c>
      <c r="BC36">
        <v>6302</v>
      </c>
      <c r="BD36">
        <v>6704.867</v>
      </c>
      <c r="BE36">
        <v>402.867</v>
      </c>
    </row>
    <row r="37" spans="1:57">
      <c r="A37">
        <v>36</v>
      </c>
      <c r="B37">
        <v>7422</v>
      </c>
      <c r="C37">
        <v>7166.552</v>
      </c>
      <c r="D37">
        <v>-255.448</v>
      </c>
      <c r="F37">
        <v>36</v>
      </c>
      <c r="G37">
        <v>9550</v>
      </c>
      <c r="H37">
        <v>8792.898</v>
      </c>
      <c r="I37">
        <v>-757.102</v>
      </c>
      <c r="K37">
        <v>36</v>
      </c>
      <c r="L37">
        <v>7422</v>
      </c>
      <c r="M37">
        <v>7579.239</v>
      </c>
      <c r="N37">
        <v>157.239</v>
      </c>
      <c r="P37">
        <v>36</v>
      </c>
      <c r="Q37">
        <v>9550</v>
      </c>
      <c r="R37">
        <v>9451.765</v>
      </c>
      <c r="S37">
        <v>-98.235</v>
      </c>
      <c r="U37">
        <v>36</v>
      </c>
      <c r="V37">
        <v>7422</v>
      </c>
      <c r="W37">
        <v>7422</v>
      </c>
      <c r="X37">
        <v>0</v>
      </c>
      <c r="Z37">
        <v>36</v>
      </c>
      <c r="AA37">
        <v>9550</v>
      </c>
      <c r="AB37">
        <v>9631</v>
      </c>
      <c r="AC37">
        <v>81</v>
      </c>
      <c r="AE37">
        <v>36</v>
      </c>
      <c r="AF37">
        <v>7422</v>
      </c>
      <c r="AG37">
        <v>7248.667</v>
      </c>
      <c r="AH37">
        <v>-173.333</v>
      </c>
      <c r="AI37">
        <v>36</v>
      </c>
      <c r="AJ37">
        <v>9550</v>
      </c>
      <c r="AK37">
        <v>9853.824</v>
      </c>
      <c r="AL37">
        <v>303.824</v>
      </c>
      <c r="AN37">
        <v>36</v>
      </c>
      <c r="AO37">
        <v>7422</v>
      </c>
      <c r="AP37">
        <v>7612.104</v>
      </c>
      <c r="AQ37">
        <v>190.104</v>
      </c>
      <c r="AS37">
        <v>36</v>
      </c>
      <c r="AT37">
        <v>9550</v>
      </c>
      <c r="AU37">
        <v>9456.761</v>
      </c>
      <c r="AV37">
        <v>-93.239</v>
      </c>
      <c r="AW37">
        <v>36</v>
      </c>
      <c r="AX37">
        <v>7422</v>
      </c>
      <c r="AY37">
        <v>7307.687</v>
      </c>
      <c r="AZ37">
        <v>-114.313</v>
      </c>
      <c r="BB37">
        <v>36</v>
      </c>
      <c r="BC37">
        <v>9550</v>
      </c>
      <c r="BD37">
        <v>9605.022</v>
      </c>
      <c r="BE37">
        <v>55.022</v>
      </c>
    </row>
    <row r="38" spans="1:57">
      <c r="A38">
        <v>37</v>
      </c>
      <c r="B38">
        <v>8731</v>
      </c>
      <c r="C38">
        <v>7802.363</v>
      </c>
      <c r="D38">
        <v>-928.637</v>
      </c>
      <c r="F38">
        <v>37</v>
      </c>
      <c r="G38">
        <v>9642</v>
      </c>
      <c r="H38">
        <v>9134.663</v>
      </c>
      <c r="I38">
        <v>-507.337</v>
      </c>
      <c r="K38">
        <v>37</v>
      </c>
      <c r="L38">
        <v>8731</v>
      </c>
      <c r="M38">
        <v>8609.083</v>
      </c>
      <c r="N38">
        <v>-121.917</v>
      </c>
      <c r="P38">
        <v>37</v>
      </c>
      <c r="Q38">
        <v>9642</v>
      </c>
      <c r="R38">
        <v>9417.021</v>
      </c>
      <c r="S38">
        <v>-224.979</v>
      </c>
      <c r="U38">
        <v>37</v>
      </c>
      <c r="V38">
        <v>8731</v>
      </c>
      <c r="W38">
        <v>8808.333</v>
      </c>
      <c r="X38">
        <v>77.333</v>
      </c>
      <c r="Z38">
        <v>37</v>
      </c>
      <c r="AA38">
        <v>9642</v>
      </c>
      <c r="AB38">
        <v>9631</v>
      </c>
      <c r="AC38">
        <v>-11</v>
      </c>
      <c r="AE38">
        <v>37</v>
      </c>
      <c r="AF38">
        <v>8731</v>
      </c>
      <c r="AG38">
        <v>8914.6</v>
      </c>
      <c r="AH38">
        <v>183.6</v>
      </c>
      <c r="AI38">
        <v>37</v>
      </c>
      <c r="AJ38">
        <v>9642</v>
      </c>
      <c r="AK38">
        <v>9853.824</v>
      </c>
      <c r="AL38">
        <v>211.824</v>
      </c>
      <c r="AN38">
        <v>37</v>
      </c>
      <c r="AO38">
        <v>8731</v>
      </c>
      <c r="AP38">
        <v>8269.718</v>
      </c>
      <c r="AQ38">
        <v>-461.282</v>
      </c>
      <c r="AS38">
        <v>37</v>
      </c>
      <c r="AT38">
        <v>9642</v>
      </c>
      <c r="AU38">
        <v>9588.878</v>
      </c>
      <c r="AV38">
        <v>-53.122</v>
      </c>
      <c r="AW38">
        <v>37</v>
      </c>
      <c r="AX38">
        <v>8731</v>
      </c>
      <c r="AY38">
        <v>7852.031</v>
      </c>
      <c r="AZ38">
        <v>-878.969</v>
      </c>
      <c r="BB38">
        <v>37</v>
      </c>
      <c r="BC38">
        <v>9642</v>
      </c>
      <c r="BD38">
        <v>9877.365</v>
      </c>
      <c r="BE38">
        <v>235.365</v>
      </c>
    </row>
    <row r="39" spans="1:57">
      <c r="A39">
        <v>38</v>
      </c>
      <c r="B39">
        <v>8810</v>
      </c>
      <c r="C39">
        <v>7979.739</v>
      </c>
      <c r="D39">
        <v>-830.261</v>
      </c>
      <c r="F39">
        <v>38</v>
      </c>
      <c r="G39">
        <v>932</v>
      </c>
      <c r="H39">
        <v>1204.119</v>
      </c>
      <c r="I39">
        <v>272.119</v>
      </c>
      <c r="K39">
        <v>38</v>
      </c>
      <c r="L39">
        <v>8810</v>
      </c>
      <c r="M39">
        <v>8550.115</v>
      </c>
      <c r="N39">
        <v>-259.885</v>
      </c>
      <c r="P39">
        <v>38</v>
      </c>
      <c r="Q39">
        <v>932</v>
      </c>
      <c r="R39">
        <v>1246.655</v>
      </c>
      <c r="S39">
        <v>314.655</v>
      </c>
      <c r="U39">
        <v>38</v>
      </c>
      <c r="V39">
        <v>8810</v>
      </c>
      <c r="W39">
        <v>8808.333</v>
      </c>
      <c r="X39">
        <v>-1.667</v>
      </c>
      <c r="Z39">
        <v>38</v>
      </c>
      <c r="AA39">
        <v>932</v>
      </c>
      <c r="AB39">
        <v>1007.5</v>
      </c>
      <c r="AC39">
        <v>75.5</v>
      </c>
      <c r="AE39">
        <v>38</v>
      </c>
      <c r="AF39">
        <v>8810</v>
      </c>
      <c r="AG39">
        <v>8914.6</v>
      </c>
      <c r="AH39">
        <v>104.6</v>
      </c>
      <c r="AI39">
        <v>38</v>
      </c>
      <c r="AJ39">
        <v>932</v>
      </c>
      <c r="AK39">
        <v>1206.833</v>
      </c>
      <c r="AL39">
        <v>274.833</v>
      </c>
      <c r="AN39">
        <v>38</v>
      </c>
      <c r="AO39">
        <v>8810</v>
      </c>
      <c r="AP39">
        <v>8752.305</v>
      </c>
      <c r="AQ39">
        <v>-57.695</v>
      </c>
      <c r="AS39">
        <v>38</v>
      </c>
      <c r="AT39">
        <v>932</v>
      </c>
      <c r="AU39">
        <v>997.154</v>
      </c>
      <c r="AV39">
        <v>65.154</v>
      </c>
      <c r="AW39">
        <v>38</v>
      </c>
      <c r="AX39">
        <v>8810</v>
      </c>
      <c r="AY39">
        <v>8333.471</v>
      </c>
      <c r="AZ39">
        <v>-476.529</v>
      </c>
      <c r="BB39">
        <v>38</v>
      </c>
      <c r="BC39">
        <v>932</v>
      </c>
      <c r="BD39">
        <v>28.291</v>
      </c>
      <c r="BE39">
        <v>-903.709</v>
      </c>
    </row>
    <row r="40" spans="1:57">
      <c r="A40">
        <v>39</v>
      </c>
      <c r="B40">
        <v>8884</v>
      </c>
      <c r="C40">
        <v>8334.491</v>
      </c>
      <c r="D40">
        <v>-549.509</v>
      </c>
      <c r="F40">
        <v>39</v>
      </c>
      <c r="G40">
        <v>2075</v>
      </c>
      <c r="H40">
        <v>2473.105</v>
      </c>
      <c r="I40">
        <v>398.105</v>
      </c>
      <c r="K40">
        <v>39</v>
      </c>
      <c r="L40">
        <v>8884</v>
      </c>
      <c r="M40">
        <v>8781.4</v>
      </c>
      <c r="N40">
        <v>-102.6</v>
      </c>
      <c r="P40">
        <v>39</v>
      </c>
      <c r="Q40">
        <v>2075</v>
      </c>
      <c r="R40">
        <v>2506.941</v>
      </c>
      <c r="S40">
        <v>431.941</v>
      </c>
      <c r="U40">
        <v>39</v>
      </c>
      <c r="V40">
        <v>8884</v>
      </c>
      <c r="W40">
        <v>8808.333</v>
      </c>
      <c r="X40">
        <v>-75.667</v>
      </c>
      <c r="Z40">
        <v>39</v>
      </c>
      <c r="AA40">
        <v>2075</v>
      </c>
      <c r="AB40">
        <v>2220</v>
      </c>
      <c r="AC40">
        <v>145</v>
      </c>
      <c r="AE40">
        <v>39</v>
      </c>
      <c r="AF40">
        <v>8884</v>
      </c>
      <c r="AG40">
        <v>8914.6</v>
      </c>
      <c r="AH40">
        <v>30.6</v>
      </c>
      <c r="AI40">
        <v>39</v>
      </c>
      <c r="AJ40">
        <v>2075</v>
      </c>
      <c r="AK40">
        <v>2814.5</v>
      </c>
      <c r="AL40">
        <v>739.5</v>
      </c>
      <c r="AN40">
        <v>39</v>
      </c>
      <c r="AO40">
        <v>8884</v>
      </c>
      <c r="AP40">
        <v>9258.843</v>
      </c>
      <c r="AQ40">
        <v>374.843</v>
      </c>
      <c r="AS40">
        <v>39</v>
      </c>
      <c r="AT40">
        <v>2075</v>
      </c>
      <c r="AU40">
        <v>1713.611</v>
      </c>
      <c r="AV40">
        <v>-361.389</v>
      </c>
      <c r="AW40">
        <v>39</v>
      </c>
      <c r="AX40">
        <v>8884</v>
      </c>
      <c r="AY40">
        <v>9099.06</v>
      </c>
      <c r="AZ40">
        <v>215.06</v>
      </c>
      <c r="BB40">
        <v>39</v>
      </c>
      <c r="BC40">
        <v>2075</v>
      </c>
      <c r="BD40">
        <v>2039.331</v>
      </c>
      <c r="BE40">
        <v>-35.669</v>
      </c>
    </row>
    <row r="41" spans="1:57">
      <c r="A41">
        <v>40</v>
      </c>
      <c r="B41">
        <v>9510</v>
      </c>
      <c r="C41">
        <v>8622.016</v>
      </c>
      <c r="D41">
        <v>-887.984</v>
      </c>
      <c r="F41">
        <v>40</v>
      </c>
      <c r="G41">
        <v>5275</v>
      </c>
      <c r="H41">
        <v>4683.749</v>
      </c>
      <c r="I41">
        <v>-591.251</v>
      </c>
      <c r="K41">
        <v>40</v>
      </c>
      <c r="L41">
        <v>9510</v>
      </c>
      <c r="M41">
        <v>9156.468</v>
      </c>
      <c r="N41">
        <v>-353.532</v>
      </c>
      <c r="P41">
        <v>40</v>
      </c>
      <c r="Q41">
        <v>5275</v>
      </c>
      <c r="R41">
        <v>5387.23</v>
      </c>
      <c r="S41">
        <v>112.23</v>
      </c>
      <c r="U41">
        <v>40</v>
      </c>
      <c r="V41">
        <v>9510</v>
      </c>
      <c r="W41">
        <v>9631</v>
      </c>
      <c r="X41">
        <v>121</v>
      </c>
      <c r="Z41">
        <v>40</v>
      </c>
      <c r="AA41">
        <v>5275</v>
      </c>
      <c r="AB41">
        <v>5315.5</v>
      </c>
      <c r="AC41">
        <v>40.5</v>
      </c>
      <c r="AE41">
        <v>40</v>
      </c>
      <c r="AF41">
        <v>9510</v>
      </c>
      <c r="AG41">
        <v>9853.824</v>
      </c>
      <c r="AH41">
        <v>343.824</v>
      </c>
      <c r="AI41">
        <v>40</v>
      </c>
      <c r="AJ41">
        <v>5275</v>
      </c>
      <c r="AK41">
        <v>5417.333</v>
      </c>
      <c r="AL41">
        <v>142.333</v>
      </c>
      <c r="AN41">
        <v>40</v>
      </c>
      <c r="AO41">
        <v>9510</v>
      </c>
      <c r="AP41">
        <v>9374.747</v>
      </c>
      <c r="AQ41">
        <v>-135.253</v>
      </c>
      <c r="AS41">
        <v>40</v>
      </c>
      <c r="AT41">
        <v>5275</v>
      </c>
      <c r="AU41">
        <v>5059.269</v>
      </c>
      <c r="AV41">
        <v>-215.731</v>
      </c>
      <c r="AW41">
        <v>40</v>
      </c>
      <c r="AX41">
        <v>9510</v>
      </c>
      <c r="AY41">
        <v>9383.402</v>
      </c>
      <c r="AZ41">
        <v>-126.598</v>
      </c>
      <c r="BB41">
        <v>40</v>
      </c>
      <c r="BC41">
        <v>5275</v>
      </c>
      <c r="BD41">
        <v>4939.542</v>
      </c>
      <c r="BE41">
        <v>-335.458</v>
      </c>
    </row>
    <row r="42" spans="1:57">
      <c r="A42">
        <v>41</v>
      </c>
      <c r="B42">
        <v>9584</v>
      </c>
      <c r="C42">
        <v>8963.78</v>
      </c>
      <c r="D42">
        <v>-620.22</v>
      </c>
      <c r="F42">
        <v>41</v>
      </c>
      <c r="G42">
        <v>5767</v>
      </c>
      <c r="H42">
        <v>5415.695</v>
      </c>
      <c r="I42">
        <v>-351.305</v>
      </c>
      <c r="K42">
        <v>41</v>
      </c>
      <c r="L42">
        <v>9584</v>
      </c>
      <c r="M42">
        <v>9522.256</v>
      </c>
      <c r="N42">
        <v>-61.744</v>
      </c>
      <c r="P42">
        <v>41</v>
      </c>
      <c r="Q42">
        <v>5767</v>
      </c>
      <c r="R42">
        <v>5877.35</v>
      </c>
      <c r="S42">
        <v>110.35</v>
      </c>
      <c r="U42">
        <v>41</v>
      </c>
      <c r="V42">
        <v>9584</v>
      </c>
      <c r="W42">
        <v>9631</v>
      </c>
      <c r="X42">
        <v>47</v>
      </c>
      <c r="Z42">
        <v>41</v>
      </c>
      <c r="AA42">
        <v>5767</v>
      </c>
      <c r="AB42">
        <v>6379.8</v>
      </c>
      <c r="AC42">
        <v>612.8</v>
      </c>
      <c r="AE42">
        <v>41</v>
      </c>
      <c r="AF42">
        <v>9584</v>
      </c>
      <c r="AG42">
        <v>9853.824</v>
      </c>
      <c r="AH42">
        <v>269.824</v>
      </c>
      <c r="AI42">
        <v>41</v>
      </c>
      <c r="AJ42">
        <v>5767</v>
      </c>
      <c r="AK42">
        <v>6456.8</v>
      </c>
      <c r="AL42">
        <v>689.8</v>
      </c>
      <c r="AN42">
        <v>41</v>
      </c>
      <c r="AO42">
        <v>9584</v>
      </c>
      <c r="AP42">
        <v>9526.206</v>
      </c>
      <c r="AQ42">
        <v>-57.794</v>
      </c>
      <c r="AS42">
        <v>41</v>
      </c>
      <c r="AT42">
        <v>5767</v>
      </c>
      <c r="AU42">
        <v>5804.54</v>
      </c>
      <c r="AV42">
        <v>37.54</v>
      </c>
      <c r="AW42">
        <v>41</v>
      </c>
      <c r="AX42">
        <v>9584</v>
      </c>
      <c r="AY42">
        <v>9767.938</v>
      </c>
      <c r="AZ42">
        <v>183.938</v>
      </c>
      <c r="BB42">
        <v>41</v>
      </c>
      <c r="BC42">
        <v>5767</v>
      </c>
      <c r="BD42">
        <v>5801.466</v>
      </c>
      <c r="BE42">
        <v>34.466</v>
      </c>
    </row>
    <row r="43" spans="1:57">
      <c r="A43">
        <v>42</v>
      </c>
      <c r="B43">
        <v>9675</v>
      </c>
      <c r="C43">
        <v>9305.545</v>
      </c>
      <c r="D43">
        <v>-369.455</v>
      </c>
      <c r="F43">
        <v>42</v>
      </c>
      <c r="G43">
        <v>5896</v>
      </c>
      <c r="H43">
        <v>6581.162</v>
      </c>
      <c r="I43">
        <v>685.162</v>
      </c>
      <c r="K43">
        <v>42</v>
      </c>
      <c r="L43">
        <v>9675</v>
      </c>
      <c r="M43">
        <v>9582.275</v>
      </c>
      <c r="N43">
        <v>-92.725</v>
      </c>
      <c r="P43">
        <v>42</v>
      </c>
      <c r="Q43">
        <v>5896</v>
      </c>
      <c r="R43">
        <v>6246.954</v>
      </c>
      <c r="S43">
        <v>350.954</v>
      </c>
      <c r="U43">
        <v>42</v>
      </c>
      <c r="V43">
        <v>9675</v>
      </c>
      <c r="W43">
        <v>9631</v>
      </c>
      <c r="X43">
        <v>-44</v>
      </c>
      <c r="Z43">
        <v>42</v>
      </c>
      <c r="AA43">
        <v>5896</v>
      </c>
      <c r="AB43">
        <v>6602</v>
      </c>
      <c r="AC43">
        <v>706</v>
      </c>
      <c r="AE43">
        <v>42</v>
      </c>
      <c r="AF43">
        <v>9675</v>
      </c>
      <c r="AG43">
        <v>9853.824</v>
      </c>
      <c r="AH43">
        <v>178.824</v>
      </c>
      <c r="AI43">
        <v>42</v>
      </c>
      <c r="AJ43">
        <v>5896</v>
      </c>
      <c r="AK43">
        <v>5040.2</v>
      </c>
      <c r="AL43">
        <v>-855.8</v>
      </c>
      <c r="AN43">
        <v>42</v>
      </c>
      <c r="AO43">
        <v>9675</v>
      </c>
      <c r="AP43">
        <v>9644.551</v>
      </c>
      <c r="AQ43">
        <v>-30.449</v>
      </c>
      <c r="AS43">
        <v>42</v>
      </c>
      <c r="AT43">
        <v>5896</v>
      </c>
      <c r="AU43">
        <v>6095.658</v>
      </c>
      <c r="AV43">
        <v>199.658</v>
      </c>
      <c r="AW43">
        <v>42</v>
      </c>
      <c r="AX43">
        <v>9675</v>
      </c>
      <c r="AY43">
        <v>9939.44</v>
      </c>
      <c r="AZ43">
        <v>264.44</v>
      </c>
      <c r="BB43">
        <v>42</v>
      </c>
      <c r="BC43">
        <v>5896</v>
      </c>
      <c r="BD43">
        <v>6340.834</v>
      </c>
      <c r="BE43">
        <v>444.834</v>
      </c>
    </row>
    <row r="44" spans="1:57">
      <c r="A44">
        <v>43</v>
      </c>
      <c r="B44">
        <v>9688</v>
      </c>
      <c r="C44">
        <v>9476.427</v>
      </c>
      <c r="D44">
        <v>-211.573</v>
      </c>
      <c r="F44">
        <v>43</v>
      </c>
      <c r="G44">
        <v>9165</v>
      </c>
      <c r="H44">
        <v>8323.474</v>
      </c>
      <c r="I44">
        <v>-841.526</v>
      </c>
      <c r="K44">
        <v>43</v>
      </c>
      <c r="L44">
        <v>9688</v>
      </c>
      <c r="M44">
        <v>9637.789</v>
      </c>
      <c r="N44">
        <v>-50.211</v>
      </c>
      <c r="P44">
        <v>43</v>
      </c>
      <c r="Q44">
        <v>9165</v>
      </c>
      <c r="R44">
        <v>8710.879</v>
      </c>
      <c r="S44">
        <v>-454.121</v>
      </c>
      <c r="U44">
        <v>43</v>
      </c>
      <c r="V44">
        <v>9688</v>
      </c>
      <c r="W44">
        <v>9631</v>
      </c>
      <c r="X44">
        <v>-57</v>
      </c>
      <c r="Z44">
        <v>43</v>
      </c>
      <c r="AA44">
        <v>9165</v>
      </c>
      <c r="AB44">
        <v>9074</v>
      </c>
      <c r="AC44">
        <v>-91</v>
      </c>
      <c r="AE44">
        <v>43</v>
      </c>
      <c r="AF44">
        <v>9688</v>
      </c>
      <c r="AG44">
        <v>9853.824</v>
      </c>
      <c r="AH44">
        <v>165.824</v>
      </c>
      <c r="AI44">
        <v>43</v>
      </c>
      <c r="AJ44">
        <v>9165</v>
      </c>
      <c r="AK44">
        <v>8914.6</v>
      </c>
      <c r="AL44">
        <v>-250.4</v>
      </c>
      <c r="AN44">
        <v>43</v>
      </c>
      <c r="AO44">
        <v>9688</v>
      </c>
      <c r="AP44">
        <v>9694.152</v>
      </c>
      <c r="AQ44">
        <v>6.152</v>
      </c>
      <c r="AS44">
        <v>43</v>
      </c>
      <c r="AT44">
        <v>9165</v>
      </c>
      <c r="AU44">
        <v>9562.24</v>
      </c>
      <c r="AV44">
        <v>397.24</v>
      </c>
      <c r="AW44">
        <v>43</v>
      </c>
      <c r="AX44">
        <v>9688</v>
      </c>
      <c r="AY44">
        <v>9960.939</v>
      </c>
      <c r="AZ44">
        <v>272.939</v>
      </c>
      <c r="BB44">
        <v>43</v>
      </c>
      <c r="BC44">
        <v>9165</v>
      </c>
      <c r="BD44">
        <v>9056.656</v>
      </c>
      <c r="BE44">
        <v>-108.344</v>
      </c>
    </row>
    <row r="45" spans="1:57">
      <c r="A45">
        <v>44</v>
      </c>
      <c r="B45">
        <v>9698</v>
      </c>
      <c r="C45">
        <v>9647.31</v>
      </c>
      <c r="D45">
        <v>-50.69</v>
      </c>
      <c r="F45">
        <v>44</v>
      </c>
      <c r="G45">
        <v>9987</v>
      </c>
      <c r="H45">
        <v>9656.477</v>
      </c>
      <c r="I45">
        <v>-330.523</v>
      </c>
      <c r="K45">
        <v>44</v>
      </c>
      <c r="L45">
        <v>9698</v>
      </c>
      <c r="M45">
        <v>9674.157</v>
      </c>
      <c r="N45">
        <v>-23.843</v>
      </c>
      <c r="P45">
        <v>44</v>
      </c>
      <c r="Q45">
        <v>9987</v>
      </c>
      <c r="R45">
        <v>9751.109</v>
      </c>
      <c r="S45">
        <v>-235.891</v>
      </c>
      <c r="U45">
        <v>44</v>
      </c>
      <c r="V45">
        <v>9698</v>
      </c>
      <c r="W45">
        <v>9631</v>
      </c>
      <c r="X45">
        <v>-67</v>
      </c>
      <c r="Z45">
        <v>44</v>
      </c>
      <c r="AA45">
        <v>9987</v>
      </c>
      <c r="AB45">
        <v>9902</v>
      </c>
      <c r="AC45">
        <v>-85</v>
      </c>
      <c r="AE45">
        <v>44</v>
      </c>
      <c r="AF45">
        <v>9698</v>
      </c>
      <c r="AG45">
        <v>9853.824</v>
      </c>
      <c r="AH45">
        <v>155.824</v>
      </c>
      <c r="AI45">
        <v>44</v>
      </c>
      <c r="AJ45">
        <v>9987</v>
      </c>
      <c r="AK45">
        <v>9853.824</v>
      </c>
      <c r="AL45">
        <v>-133.176</v>
      </c>
      <c r="AN45">
        <v>44</v>
      </c>
      <c r="AO45">
        <v>9698</v>
      </c>
      <c r="AP45">
        <v>9740.924</v>
      </c>
      <c r="AQ45">
        <v>42.924</v>
      </c>
      <c r="AS45">
        <v>44</v>
      </c>
      <c r="AT45">
        <v>9987</v>
      </c>
      <c r="AU45">
        <v>9950.597</v>
      </c>
      <c r="AV45">
        <v>-36.403</v>
      </c>
      <c r="AW45">
        <v>44</v>
      </c>
      <c r="AX45">
        <v>9698</v>
      </c>
      <c r="AY45">
        <v>9948.974</v>
      </c>
      <c r="AZ45">
        <v>250.974</v>
      </c>
      <c r="BB45">
        <v>44</v>
      </c>
      <c r="BC45">
        <v>9987</v>
      </c>
      <c r="BD45">
        <v>10331.104</v>
      </c>
      <c r="BE45">
        <v>344.104</v>
      </c>
    </row>
    <row r="46" spans="1:57">
      <c r="A46">
        <v>45</v>
      </c>
      <c r="B46">
        <v>9841</v>
      </c>
      <c r="C46">
        <v>9989.074</v>
      </c>
      <c r="D46">
        <v>148.074</v>
      </c>
      <c r="F46">
        <v>45</v>
      </c>
      <c r="G46">
        <v>10058</v>
      </c>
      <c r="H46">
        <v>9998.242</v>
      </c>
      <c r="I46">
        <v>-59.758</v>
      </c>
      <c r="K46">
        <v>45</v>
      </c>
      <c r="L46">
        <v>9841</v>
      </c>
      <c r="M46">
        <v>9768.656</v>
      </c>
      <c r="N46">
        <v>-72.344</v>
      </c>
      <c r="P46">
        <v>45</v>
      </c>
      <c r="Q46">
        <v>10058</v>
      </c>
      <c r="R46">
        <v>9932.25</v>
      </c>
      <c r="S46">
        <v>-125.75</v>
      </c>
      <c r="U46">
        <v>45</v>
      </c>
      <c r="V46">
        <v>9841</v>
      </c>
      <c r="W46">
        <v>9849.5</v>
      </c>
      <c r="X46">
        <v>8.5</v>
      </c>
      <c r="Z46">
        <v>45</v>
      </c>
      <c r="AA46">
        <v>10058</v>
      </c>
      <c r="AB46">
        <v>10150.667</v>
      </c>
      <c r="AC46">
        <v>92.667</v>
      </c>
      <c r="AE46">
        <v>45</v>
      </c>
      <c r="AF46">
        <v>9841</v>
      </c>
      <c r="AG46">
        <v>9853.824</v>
      </c>
      <c r="AH46">
        <v>12.824</v>
      </c>
      <c r="AI46">
        <v>45</v>
      </c>
      <c r="AJ46">
        <v>10058</v>
      </c>
      <c r="AK46">
        <v>9853.824</v>
      </c>
      <c r="AL46">
        <v>-204.176</v>
      </c>
      <c r="AN46">
        <v>45</v>
      </c>
      <c r="AO46">
        <v>9841</v>
      </c>
      <c r="AP46">
        <v>9829.015</v>
      </c>
      <c r="AQ46">
        <v>-11.985</v>
      </c>
      <c r="AS46">
        <v>45</v>
      </c>
      <c r="AT46">
        <v>10058</v>
      </c>
      <c r="AU46">
        <v>10077.82</v>
      </c>
      <c r="AV46">
        <v>19.82</v>
      </c>
      <c r="AW46">
        <v>45</v>
      </c>
      <c r="AX46">
        <v>9841</v>
      </c>
      <c r="AY46">
        <v>9853.047</v>
      </c>
      <c r="AZ46">
        <v>12.047</v>
      </c>
      <c r="BB46">
        <v>45</v>
      </c>
      <c r="BC46">
        <v>10058</v>
      </c>
      <c r="BD46">
        <v>10275.006</v>
      </c>
      <c r="BE46">
        <v>217.006</v>
      </c>
    </row>
    <row r="47" spans="1:57">
      <c r="A47">
        <v>46</v>
      </c>
      <c r="B47">
        <v>9846</v>
      </c>
      <c r="C47">
        <v>10159.956</v>
      </c>
      <c r="D47">
        <v>313.956</v>
      </c>
      <c r="F47">
        <v>46</v>
      </c>
      <c r="G47">
        <v>2375</v>
      </c>
      <c r="H47">
        <v>2725.272</v>
      </c>
      <c r="I47">
        <v>350.272</v>
      </c>
      <c r="K47">
        <v>46</v>
      </c>
      <c r="L47">
        <v>9846</v>
      </c>
      <c r="M47">
        <v>9770.109</v>
      </c>
      <c r="N47">
        <v>-75.891</v>
      </c>
      <c r="P47">
        <v>46</v>
      </c>
      <c r="Q47">
        <v>2375</v>
      </c>
      <c r="R47">
        <v>2643.385</v>
      </c>
      <c r="S47">
        <v>268.385</v>
      </c>
      <c r="U47">
        <v>46</v>
      </c>
      <c r="V47">
        <v>9846</v>
      </c>
      <c r="W47">
        <v>9849.5</v>
      </c>
      <c r="X47">
        <v>3.5</v>
      </c>
      <c r="Z47">
        <v>46</v>
      </c>
      <c r="AA47">
        <v>2375</v>
      </c>
      <c r="AB47">
        <v>2520</v>
      </c>
      <c r="AC47">
        <v>145</v>
      </c>
      <c r="AE47">
        <v>46</v>
      </c>
      <c r="AF47">
        <v>9846</v>
      </c>
      <c r="AG47">
        <v>9853.824</v>
      </c>
      <c r="AH47">
        <v>7.824</v>
      </c>
      <c r="AI47">
        <v>46</v>
      </c>
      <c r="AJ47">
        <v>2375</v>
      </c>
      <c r="AK47">
        <v>2814.5</v>
      </c>
      <c r="AL47">
        <v>439.5</v>
      </c>
      <c r="AN47">
        <v>46</v>
      </c>
      <c r="AO47">
        <v>9846</v>
      </c>
      <c r="AP47">
        <v>9856.814</v>
      </c>
      <c r="AQ47">
        <v>10.814</v>
      </c>
      <c r="AS47">
        <v>46</v>
      </c>
      <c r="AT47">
        <v>2375</v>
      </c>
      <c r="AU47">
        <v>1947.731</v>
      </c>
      <c r="AV47">
        <v>-427.269</v>
      </c>
      <c r="AW47">
        <v>46</v>
      </c>
      <c r="AX47">
        <v>9846</v>
      </c>
      <c r="AY47">
        <v>9782.457</v>
      </c>
      <c r="AZ47">
        <v>-63.543</v>
      </c>
      <c r="BB47">
        <v>46</v>
      </c>
      <c r="BC47">
        <v>2375</v>
      </c>
      <c r="BD47">
        <v>2401.976</v>
      </c>
      <c r="BE47">
        <v>26.976</v>
      </c>
    </row>
    <row r="48" spans="1:57">
      <c r="A48">
        <v>47</v>
      </c>
      <c r="B48">
        <v>9852</v>
      </c>
      <c r="C48">
        <v>10330.839</v>
      </c>
      <c r="D48">
        <v>478.839</v>
      </c>
      <c r="F48">
        <v>47</v>
      </c>
      <c r="G48">
        <v>5575</v>
      </c>
      <c r="H48">
        <v>4922.663</v>
      </c>
      <c r="I48">
        <v>-652.337</v>
      </c>
      <c r="K48">
        <v>47</v>
      </c>
      <c r="L48">
        <v>9852</v>
      </c>
      <c r="M48">
        <v>9745.25</v>
      </c>
      <c r="N48">
        <v>-106.75</v>
      </c>
      <c r="P48">
        <v>47</v>
      </c>
      <c r="Q48">
        <v>5575</v>
      </c>
      <c r="R48">
        <v>5660.438</v>
      </c>
      <c r="S48">
        <v>85.438</v>
      </c>
      <c r="U48">
        <v>47</v>
      </c>
      <c r="V48">
        <v>9852</v>
      </c>
      <c r="W48">
        <v>9849.5</v>
      </c>
      <c r="X48">
        <v>-2.5</v>
      </c>
      <c r="Z48">
        <v>47</v>
      </c>
      <c r="AA48">
        <v>5575</v>
      </c>
      <c r="AB48">
        <v>5621</v>
      </c>
      <c r="AC48">
        <v>46</v>
      </c>
      <c r="AE48">
        <v>47</v>
      </c>
      <c r="AF48">
        <v>9852</v>
      </c>
      <c r="AG48">
        <v>9853.824</v>
      </c>
      <c r="AH48">
        <v>1.824</v>
      </c>
      <c r="AI48">
        <v>47</v>
      </c>
      <c r="AJ48">
        <v>5575</v>
      </c>
      <c r="AK48">
        <v>5417.333</v>
      </c>
      <c r="AL48">
        <v>-157.667</v>
      </c>
      <c r="AN48">
        <v>47</v>
      </c>
      <c r="AO48">
        <v>9852</v>
      </c>
      <c r="AP48">
        <v>9855.157</v>
      </c>
      <c r="AQ48">
        <v>3.157</v>
      </c>
      <c r="AS48">
        <v>47</v>
      </c>
      <c r="AT48">
        <v>5575</v>
      </c>
      <c r="AU48">
        <v>5332.387</v>
      </c>
      <c r="AV48">
        <v>-242.613</v>
      </c>
      <c r="AW48">
        <v>47</v>
      </c>
      <c r="AX48">
        <v>9852</v>
      </c>
      <c r="AY48">
        <v>9704.691</v>
      </c>
      <c r="AZ48">
        <v>-147.309</v>
      </c>
      <c r="BB48">
        <v>47</v>
      </c>
      <c r="BC48">
        <v>5575</v>
      </c>
      <c r="BD48">
        <v>5102.596</v>
      </c>
      <c r="BE48">
        <v>-472.404</v>
      </c>
    </row>
    <row r="49" spans="1:57">
      <c r="A49">
        <v>48</v>
      </c>
      <c r="B49">
        <v>9859</v>
      </c>
      <c r="C49">
        <v>10501.721</v>
      </c>
      <c r="D49">
        <v>642.721</v>
      </c>
      <c r="F49">
        <v>48</v>
      </c>
      <c r="G49">
        <v>6565</v>
      </c>
      <c r="H49">
        <v>5898.59</v>
      </c>
      <c r="I49">
        <v>-666.41</v>
      </c>
      <c r="K49">
        <v>48</v>
      </c>
      <c r="L49">
        <v>9859</v>
      </c>
      <c r="M49">
        <v>9756.678</v>
      </c>
      <c r="N49">
        <v>-102.322</v>
      </c>
      <c r="P49">
        <v>48</v>
      </c>
      <c r="Q49">
        <v>6565</v>
      </c>
      <c r="R49">
        <v>6684.256</v>
      </c>
      <c r="S49">
        <v>119.256</v>
      </c>
      <c r="U49">
        <v>48</v>
      </c>
      <c r="V49">
        <v>9859</v>
      </c>
      <c r="W49">
        <v>9849.5</v>
      </c>
      <c r="X49">
        <v>-9.5</v>
      </c>
      <c r="Z49">
        <v>48</v>
      </c>
      <c r="AA49">
        <v>6565</v>
      </c>
      <c r="AB49">
        <v>6675.5</v>
      </c>
      <c r="AC49">
        <v>110.5</v>
      </c>
      <c r="AE49">
        <v>48</v>
      </c>
      <c r="AF49">
        <v>9859</v>
      </c>
      <c r="AG49">
        <v>9853.824</v>
      </c>
      <c r="AH49">
        <v>-5.176</v>
      </c>
      <c r="AI49">
        <v>48</v>
      </c>
      <c r="AJ49">
        <v>6565</v>
      </c>
      <c r="AK49">
        <v>6456.8</v>
      </c>
      <c r="AL49">
        <v>-108.2</v>
      </c>
      <c r="AN49">
        <v>48</v>
      </c>
      <c r="AO49">
        <v>9859</v>
      </c>
      <c r="AP49">
        <v>9808.521</v>
      </c>
      <c r="AQ49">
        <v>-50.479</v>
      </c>
      <c r="AS49">
        <v>48</v>
      </c>
      <c r="AT49">
        <v>6565</v>
      </c>
      <c r="AU49">
        <v>6233.653</v>
      </c>
      <c r="AV49">
        <v>-331.347</v>
      </c>
      <c r="AW49">
        <v>48</v>
      </c>
      <c r="AX49">
        <v>9859</v>
      </c>
      <c r="AY49">
        <v>9624.656</v>
      </c>
      <c r="AZ49">
        <v>-234.344</v>
      </c>
      <c r="BB49">
        <v>48</v>
      </c>
      <c r="BC49">
        <v>6565</v>
      </c>
      <c r="BD49">
        <v>6246.463</v>
      </c>
      <c r="BE49">
        <v>-318.537</v>
      </c>
    </row>
    <row r="50" spans="1:57">
      <c r="A50">
        <v>49</v>
      </c>
      <c r="B50">
        <v>975</v>
      </c>
      <c r="C50">
        <v>1711.714</v>
      </c>
      <c r="D50">
        <v>736.714</v>
      </c>
      <c r="F50">
        <v>49</v>
      </c>
      <c r="G50">
        <v>2037</v>
      </c>
      <c r="H50">
        <v>1828.946</v>
      </c>
      <c r="I50">
        <v>-208.054</v>
      </c>
      <c r="K50">
        <v>49</v>
      </c>
      <c r="L50">
        <v>975</v>
      </c>
      <c r="M50">
        <v>1225.172</v>
      </c>
      <c r="N50">
        <v>250.172</v>
      </c>
      <c r="P50">
        <v>49</v>
      </c>
      <c r="Q50">
        <v>2037</v>
      </c>
      <c r="R50">
        <v>1924.718</v>
      </c>
      <c r="S50">
        <v>-112.282</v>
      </c>
      <c r="U50">
        <v>49</v>
      </c>
      <c r="V50">
        <v>975</v>
      </c>
      <c r="W50">
        <v>1007.5</v>
      </c>
      <c r="X50">
        <v>32.5</v>
      </c>
      <c r="Z50">
        <v>49</v>
      </c>
      <c r="AA50">
        <v>2037</v>
      </c>
      <c r="AB50">
        <v>2150.556</v>
      </c>
      <c r="AC50">
        <v>113.556</v>
      </c>
      <c r="AE50">
        <v>49</v>
      </c>
      <c r="AF50">
        <v>975</v>
      </c>
      <c r="AG50">
        <v>1206.833</v>
      </c>
      <c r="AH50">
        <v>231.833</v>
      </c>
      <c r="AI50">
        <v>49</v>
      </c>
      <c r="AJ50">
        <v>2037</v>
      </c>
      <c r="AK50">
        <v>2141.5</v>
      </c>
      <c r="AL50">
        <v>104.5</v>
      </c>
      <c r="AN50">
        <v>49</v>
      </c>
      <c r="AO50">
        <v>975</v>
      </c>
      <c r="AP50">
        <v>955.346</v>
      </c>
      <c r="AQ50">
        <v>-19.654</v>
      </c>
      <c r="AS50">
        <v>49</v>
      </c>
      <c r="AT50">
        <v>2037</v>
      </c>
      <c r="AU50">
        <v>2136.65</v>
      </c>
      <c r="AV50">
        <v>99.65</v>
      </c>
      <c r="AW50">
        <v>49</v>
      </c>
      <c r="AX50">
        <v>975</v>
      </c>
      <c r="AY50">
        <v>764.091</v>
      </c>
      <c r="AZ50">
        <v>-210.909</v>
      </c>
      <c r="BB50">
        <v>49</v>
      </c>
      <c r="BC50">
        <v>2037</v>
      </c>
      <c r="BD50">
        <v>2046.663</v>
      </c>
      <c r="BE50">
        <v>9.663</v>
      </c>
    </row>
    <row r="51" spans="1:57">
      <c r="A51">
        <v>50</v>
      </c>
      <c r="B51">
        <v>1040</v>
      </c>
      <c r="C51">
        <v>1965.511</v>
      </c>
      <c r="D51">
        <v>925.511</v>
      </c>
      <c r="F51">
        <v>50</v>
      </c>
      <c r="G51">
        <v>2126</v>
      </c>
      <c r="H51">
        <v>2122.466</v>
      </c>
      <c r="I51">
        <v>-3.534</v>
      </c>
      <c r="K51">
        <v>50</v>
      </c>
      <c r="L51">
        <v>1040</v>
      </c>
      <c r="M51">
        <v>1237.902</v>
      </c>
      <c r="N51">
        <v>197.902</v>
      </c>
      <c r="P51">
        <v>50</v>
      </c>
      <c r="Q51">
        <v>2126</v>
      </c>
      <c r="R51">
        <v>2159.69</v>
      </c>
      <c r="S51">
        <v>33.69</v>
      </c>
      <c r="U51">
        <v>50</v>
      </c>
      <c r="V51">
        <v>1040</v>
      </c>
      <c r="W51">
        <v>1007.5</v>
      </c>
      <c r="X51">
        <v>-32.5</v>
      </c>
      <c r="Z51">
        <v>50</v>
      </c>
      <c r="AA51">
        <v>2126</v>
      </c>
      <c r="AB51">
        <v>2150.556</v>
      </c>
      <c r="AC51">
        <v>24.556</v>
      </c>
      <c r="AE51">
        <v>50</v>
      </c>
      <c r="AF51">
        <v>1040</v>
      </c>
      <c r="AG51">
        <v>1206.833</v>
      </c>
      <c r="AH51">
        <v>166.833</v>
      </c>
      <c r="AI51">
        <v>50</v>
      </c>
      <c r="AJ51">
        <v>2126</v>
      </c>
      <c r="AK51">
        <v>2141.5</v>
      </c>
      <c r="AL51">
        <v>15.5</v>
      </c>
      <c r="AN51">
        <v>50</v>
      </c>
      <c r="AO51">
        <v>1040</v>
      </c>
      <c r="AP51">
        <v>1081.292</v>
      </c>
      <c r="AQ51">
        <v>41.292</v>
      </c>
      <c r="AS51">
        <v>50</v>
      </c>
      <c r="AT51">
        <v>2126</v>
      </c>
      <c r="AU51">
        <v>2126.465</v>
      </c>
      <c r="AV51">
        <v>0.465</v>
      </c>
      <c r="AW51">
        <v>50</v>
      </c>
      <c r="AX51">
        <v>1040</v>
      </c>
      <c r="AY51">
        <v>1172.295</v>
      </c>
      <c r="AZ51">
        <v>132.295</v>
      </c>
      <c r="BB51">
        <v>50</v>
      </c>
      <c r="BC51">
        <v>2126</v>
      </c>
      <c r="BD51">
        <v>2131.302</v>
      </c>
      <c r="BE51">
        <v>5.302</v>
      </c>
    </row>
    <row r="52" spans="1:57">
      <c r="A52">
        <v>51</v>
      </c>
      <c r="B52">
        <v>2220</v>
      </c>
      <c r="C52">
        <v>2816.62</v>
      </c>
      <c r="D52">
        <v>596.62</v>
      </c>
      <c r="F52">
        <v>51</v>
      </c>
      <c r="G52">
        <v>2245</v>
      </c>
      <c r="H52">
        <v>2592.098</v>
      </c>
      <c r="I52">
        <v>347.098</v>
      </c>
      <c r="K52">
        <v>51</v>
      </c>
      <c r="L52">
        <v>2220</v>
      </c>
      <c r="M52">
        <v>2576.755</v>
      </c>
      <c r="N52">
        <v>356.755</v>
      </c>
      <c r="P52">
        <v>51</v>
      </c>
      <c r="Q52">
        <v>2245</v>
      </c>
      <c r="R52">
        <v>2486.316</v>
      </c>
      <c r="S52">
        <v>241.316</v>
      </c>
      <c r="U52">
        <v>51</v>
      </c>
      <c r="V52">
        <v>2220</v>
      </c>
      <c r="W52">
        <v>2220</v>
      </c>
      <c r="X52">
        <v>0</v>
      </c>
      <c r="Z52">
        <v>51</v>
      </c>
      <c r="AA52">
        <v>2245</v>
      </c>
      <c r="AB52">
        <v>5658.5</v>
      </c>
      <c r="AC52">
        <v>3413.5</v>
      </c>
      <c r="AE52">
        <v>51</v>
      </c>
      <c r="AF52">
        <v>2220</v>
      </c>
      <c r="AG52">
        <v>2814.5</v>
      </c>
      <c r="AH52">
        <v>594.5</v>
      </c>
      <c r="AI52">
        <v>51</v>
      </c>
      <c r="AJ52">
        <v>2245</v>
      </c>
      <c r="AK52">
        <v>2366</v>
      </c>
      <c r="AL52">
        <v>121</v>
      </c>
      <c r="AN52">
        <v>51</v>
      </c>
      <c r="AO52">
        <v>2220</v>
      </c>
      <c r="AP52">
        <v>2208.944</v>
      </c>
      <c r="AQ52">
        <v>-11.056</v>
      </c>
      <c r="AS52">
        <v>51</v>
      </c>
      <c r="AT52">
        <v>2245</v>
      </c>
      <c r="AU52">
        <v>2246.841</v>
      </c>
      <c r="AV52">
        <v>1.841</v>
      </c>
      <c r="AW52">
        <v>51</v>
      </c>
      <c r="AX52">
        <v>2220</v>
      </c>
      <c r="AY52">
        <v>2485.26</v>
      </c>
      <c r="AZ52">
        <v>265.26</v>
      </c>
      <c r="BB52">
        <v>51</v>
      </c>
      <c r="BC52">
        <v>2245</v>
      </c>
      <c r="BD52">
        <v>2250.275</v>
      </c>
      <c r="BE52">
        <v>5.275</v>
      </c>
    </row>
    <row r="53" spans="1:57">
      <c r="A53">
        <v>52</v>
      </c>
      <c r="B53">
        <v>2678</v>
      </c>
      <c r="C53">
        <v>3101.279</v>
      </c>
      <c r="D53">
        <v>423.279</v>
      </c>
      <c r="F53">
        <v>52</v>
      </c>
      <c r="G53">
        <v>2272</v>
      </c>
      <c r="H53">
        <v>2650.802</v>
      </c>
      <c r="I53">
        <v>378.802</v>
      </c>
      <c r="K53">
        <v>52</v>
      </c>
      <c r="L53">
        <v>2678</v>
      </c>
      <c r="M53">
        <v>2863.782</v>
      </c>
      <c r="N53">
        <v>185.782</v>
      </c>
      <c r="P53">
        <v>52</v>
      </c>
      <c r="Q53">
        <v>2272</v>
      </c>
      <c r="R53">
        <v>2625.346</v>
      </c>
      <c r="S53">
        <v>353.346</v>
      </c>
      <c r="U53">
        <v>52</v>
      </c>
      <c r="V53">
        <v>2678</v>
      </c>
      <c r="W53">
        <v>2678</v>
      </c>
      <c r="X53">
        <v>0</v>
      </c>
      <c r="Z53">
        <v>52</v>
      </c>
      <c r="AA53">
        <v>2272</v>
      </c>
      <c r="AB53">
        <v>5658.5</v>
      </c>
      <c r="AC53">
        <v>3386.5</v>
      </c>
      <c r="AE53">
        <v>52</v>
      </c>
      <c r="AF53">
        <v>2678</v>
      </c>
      <c r="AG53">
        <v>2814.5</v>
      </c>
      <c r="AH53">
        <v>136.5</v>
      </c>
      <c r="AI53">
        <v>52</v>
      </c>
      <c r="AJ53">
        <v>2272</v>
      </c>
      <c r="AK53">
        <v>2366</v>
      </c>
      <c r="AL53">
        <v>94</v>
      </c>
      <c r="AN53">
        <v>52</v>
      </c>
      <c r="AO53">
        <v>2678</v>
      </c>
      <c r="AP53">
        <v>2779.456</v>
      </c>
      <c r="AQ53">
        <v>101.456</v>
      </c>
      <c r="AS53">
        <v>52</v>
      </c>
      <c r="AT53">
        <v>2272</v>
      </c>
      <c r="AU53">
        <v>2272.993</v>
      </c>
      <c r="AV53">
        <v>0.993</v>
      </c>
      <c r="AW53">
        <v>52</v>
      </c>
      <c r="AX53">
        <v>2678</v>
      </c>
      <c r="AY53">
        <v>2930.72</v>
      </c>
      <c r="AZ53">
        <v>252.72</v>
      </c>
      <c r="BB53">
        <v>52</v>
      </c>
      <c r="BC53">
        <v>2272</v>
      </c>
      <c r="BD53">
        <v>2267.329</v>
      </c>
      <c r="BE53">
        <v>-4.671</v>
      </c>
    </row>
    <row r="54" spans="1:57">
      <c r="A54">
        <v>53</v>
      </c>
      <c r="B54">
        <v>3145</v>
      </c>
      <c r="C54">
        <v>3385.939</v>
      </c>
      <c r="D54">
        <v>240.939</v>
      </c>
      <c r="F54">
        <v>53</v>
      </c>
      <c r="G54">
        <v>510</v>
      </c>
      <c r="H54">
        <v>-72.229</v>
      </c>
      <c r="I54">
        <v>-582.229</v>
      </c>
      <c r="K54">
        <v>53</v>
      </c>
      <c r="L54">
        <v>3145</v>
      </c>
      <c r="M54">
        <v>3428.291</v>
      </c>
      <c r="N54">
        <v>283.291</v>
      </c>
      <c r="P54">
        <v>53</v>
      </c>
      <c r="Q54">
        <v>510</v>
      </c>
      <c r="R54">
        <v>645.12</v>
      </c>
      <c r="S54">
        <v>135.12</v>
      </c>
      <c r="U54">
        <v>53</v>
      </c>
      <c r="V54">
        <v>3145</v>
      </c>
      <c r="W54">
        <v>3145</v>
      </c>
      <c r="X54">
        <v>0</v>
      </c>
      <c r="Z54">
        <v>53</v>
      </c>
      <c r="AA54">
        <v>510</v>
      </c>
      <c r="AB54">
        <v>576.333</v>
      </c>
      <c r="AC54">
        <v>66.333</v>
      </c>
      <c r="AE54">
        <v>53</v>
      </c>
      <c r="AF54">
        <v>3145</v>
      </c>
      <c r="AG54">
        <v>2814.5</v>
      </c>
      <c r="AH54">
        <v>-330.5</v>
      </c>
      <c r="AI54">
        <v>53</v>
      </c>
      <c r="AJ54">
        <v>510</v>
      </c>
      <c r="AK54">
        <v>540.333</v>
      </c>
      <c r="AL54">
        <v>30.333</v>
      </c>
      <c r="AN54">
        <v>53</v>
      </c>
      <c r="AO54">
        <v>3145</v>
      </c>
      <c r="AP54">
        <v>3368.947</v>
      </c>
      <c r="AQ54">
        <v>223.947</v>
      </c>
      <c r="AS54">
        <v>53</v>
      </c>
      <c r="AT54">
        <v>510</v>
      </c>
      <c r="AU54">
        <v>484.892</v>
      </c>
      <c r="AV54">
        <v>-25.108</v>
      </c>
      <c r="AW54">
        <v>53</v>
      </c>
      <c r="AX54">
        <v>3145</v>
      </c>
      <c r="AY54">
        <v>3369.292</v>
      </c>
      <c r="AZ54">
        <v>224.292</v>
      </c>
      <c r="BB54">
        <v>53</v>
      </c>
      <c r="BC54">
        <v>510</v>
      </c>
      <c r="BD54">
        <v>503.924</v>
      </c>
      <c r="BE54">
        <v>-6.076</v>
      </c>
    </row>
    <row r="55" spans="1:57">
      <c r="A55">
        <v>54</v>
      </c>
      <c r="B55">
        <v>4340</v>
      </c>
      <c r="C55">
        <v>3951.804</v>
      </c>
      <c r="D55">
        <v>-388.196</v>
      </c>
      <c r="F55">
        <v>54</v>
      </c>
      <c r="G55">
        <v>637</v>
      </c>
      <c r="H55">
        <v>279.995</v>
      </c>
      <c r="I55">
        <v>-357.005</v>
      </c>
      <c r="K55">
        <v>54</v>
      </c>
      <c r="L55">
        <v>4340</v>
      </c>
      <c r="M55">
        <v>4311.843</v>
      </c>
      <c r="N55">
        <v>-28.157</v>
      </c>
      <c r="P55">
        <v>54</v>
      </c>
      <c r="Q55">
        <v>637</v>
      </c>
      <c r="R55">
        <v>909.234</v>
      </c>
      <c r="S55">
        <v>272.234</v>
      </c>
      <c r="U55">
        <v>54</v>
      </c>
      <c r="V55">
        <v>4340</v>
      </c>
      <c r="W55">
        <v>4348</v>
      </c>
      <c r="X55">
        <v>8</v>
      </c>
      <c r="Z55">
        <v>54</v>
      </c>
      <c r="AA55">
        <v>637</v>
      </c>
      <c r="AB55">
        <v>576.333</v>
      </c>
      <c r="AC55">
        <v>-60.667</v>
      </c>
      <c r="AE55">
        <v>54</v>
      </c>
      <c r="AF55">
        <v>4340</v>
      </c>
      <c r="AG55">
        <v>4498</v>
      </c>
      <c r="AH55">
        <v>158</v>
      </c>
      <c r="AI55">
        <v>54</v>
      </c>
      <c r="AJ55">
        <v>637</v>
      </c>
      <c r="AK55">
        <v>718.5</v>
      </c>
      <c r="AL55">
        <v>81.5</v>
      </c>
      <c r="AN55">
        <v>54</v>
      </c>
      <c r="AO55">
        <v>4340</v>
      </c>
      <c r="AP55">
        <v>3918.753</v>
      </c>
      <c r="AQ55">
        <v>-421.247</v>
      </c>
      <c r="AS55">
        <v>54</v>
      </c>
      <c r="AT55">
        <v>637</v>
      </c>
      <c r="AU55">
        <v>627.59</v>
      </c>
      <c r="AV55">
        <v>-9.41</v>
      </c>
      <c r="AW55">
        <v>54</v>
      </c>
      <c r="AX55">
        <v>4340</v>
      </c>
      <c r="AY55">
        <v>3794.851</v>
      </c>
      <c r="AZ55">
        <v>-545.149</v>
      </c>
      <c r="BB55">
        <v>54</v>
      </c>
      <c r="BC55">
        <v>637</v>
      </c>
      <c r="BD55">
        <v>611.068</v>
      </c>
      <c r="BE55">
        <v>-25.932</v>
      </c>
    </row>
    <row r="56" spans="1:57">
      <c r="A56">
        <v>55</v>
      </c>
      <c r="B56">
        <v>4356</v>
      </c>
      <c r="C56">
        <v>4195.786</v>
      </c>
      <c r="D56">
        <v>-160.214</v>
      </c>
      <c r="F56">
        <v>55</v>
      </c>
      <c r="G56">
        <v>646</v>
      </c>
      <c r="H56">
        <v>397.403</v>
      </c>
      <c r="I56">
        <v>-248.597</v>
      </c>
      <c r="K56">
        <v>55</v>
      </c>
      <c r="L56">
        <v>4356</v>
      </c>
      <c r="M56">
        <v>4440.858</v>
      </c>
      <c r="N56">
        <v>84.858</v>
      </c>
      <c r="P56">
        <v>55</v>
      </c>
      <c r="Q56">
        <v>646</v>
      </c>
      <c r="R56">
        <v>726.321</v>
      </c>
      <c r="S56">
        <v>80.321</v>
      </c>
      <c r="U56">
        <v>55</v>
      </c>
      <c r="V56">
        <v>4356</v>
      </c>
      <c r="W56">
        <v>4348</v>
      </c>
      <c r="X56">
        <v>-8</v>
      </c>
      <c r="Z56">
        <v>55</v>
      </c>
      <c r="AA56">
        <v>646</v>
      </c>
      <c r="AB56">
        <v>576.333</v>
      </c>
      <c r="AC56">
        <v>-69.667</v>
      </c>
      <c r="AE56">
        <v>55</v>
      </c>
      <c r="AF56">
        <v>4356</v>
      </c>
      <c r="AG56">
        <v>4498</v>
      </c>
      <c r="AH56">
        <v>142</v>
      </c>
      <c r="AI56">
        <v>55</v>
      </c>
      <c r="AJ56">
        <v>646</v>
      </c>
      <c r="AK56">
        <v>718.5</v>
      </c>
      <c r="AL56">
        <v>72.5</v>
      </c>
      <c r="AN56">
        <v>55</v>
      </c>
      <c r="AO56">
        <v>4356</v>
      </c>
      <c r="AP56">
        <v>4386.694</v>
      </c>
      <c r="AQ56">
        <v>30.694</v>
      </c>
      <c r="AS56">
        <v>55</v>
      </c>
      <c r="AT56">
        <v>646</v>
      </c>
      <c r="AU56">
        <v>640.341</v>
      </c>
      <c r="AV56">
        <v>-5.659</v>
      </c>
      <c r="AW56">
        <v>55</v>
      </c>
      <c r="AX56">
        <v>4356</v>
      </c>
      <c r="AY56">
        <v>4201.714</v>
      </c>
      <c r="AZ56">
        <v>-154.286</v>
      </c>
      <c r="BB56">
        <v>55</v>
      </c>
      <c r="BC56">
        <v>646</v>
      </c>
      <c r="BD56">
        <v>649.445</v>
      </c>
      <c r="BE56">
        <v>3.445</v>
      </c>
    </row>
    <row r="57" spans="1:57">
      <c r="A57">
        <v>56</v>
      </c>
      <c r="B57">
        <v>5310</v>
      </c>
      <c r="C57">
        <v>4927.731</v>
      </c>
      <c r="D57">
        <v>-382.269</v>
      </c>
      <c r="F57">
        <v>56</v>
      </c>
      <c r="G57">
        <v>780</v>
      </c>
      <c r="H57">
        <v>925.739</v>
      </c>
      <c r="I57">
        <v>145.739</v>
      </c>
      <c r="K57">
        <v>56</v>
      </c>
      <c r="L57">
        <v>5310</v>
      </c>
      <c r="M57">
        <v>5350.588</v>
      </c>
      <c r="N57">
        <v>40.588</v>
      </c>
      <c r="P57">
        <v>56</v>
      </c>
      <c r="Q57">
        <v>780</v>
      </c>
      <c r="R57">
        <v>1160.29</v>
      </c>
      <c r="S57">
        <v>380.29</v>
      </c>
      <c r="U57">
        <v>56</v>
      </c>
      <c r="V57">
        <v>5310</v>
      </c>
      <c r="W57">
        <v>5315.5</v>
      </c>
      <c r="X57">
        <v>5.5</v>
      </c>
      <c r="Z57">
        <v>56</v>
      </c>
      <c r="AA57">
        <v>780</v>
      </c>
      <c r="AB57">
        <v>760.6</v>
      </c>
      <c r="AC57">
        <v>-19.4</v>
      </c>
      <c r="AE57">
        <v>56</v>
      </c>
      <c r="AF57">
        <v>5310</v>
      </c>
      <c r="AG57">
        <v>5417.333</v>
      </c>
      <c r="AH57">
        <v>107.333</v>
      </c>
      <c r="AI57">
        <v>56</v>
      </c>
      <c r="AJ57">
        <v>780</v>
      </c>
      <c r="AK57">
        <v>718.5</v>
      </c>
      <c r="AL57">
        <v>-61.5</v>
      </c>
      <c r="AN57">
        <v>56</v>
      </c>
      <c r="AO57">
        <v>5310</v>
      </c>
      <c r="AP57">
        <v>5316.399</v>
      </c>
      <c r="AQ57">
        <v>6.399</v>
      </c>
      <c r="AS57">
        <v>56</v>
      </c>
      <c r="AT57">
        <v>780</v>
      </c>
      <c r="AU57">
        <v>785.535</v>
      </c>
      <c r="AV57">
        <v>5.535</v>
      </c>
      <c r="AW57">
        <v>56</v>
      </c>
      <c r="AX57">
        <v>5310</v>
      </c>
      <c r="AY57">
        <v>5262.366</v>
      </c>
      <c r="AZ57">
        <v>-47.634</v>
      </c>
      <c r="BB57">
        <v>56</v>
      </c>
      <c r="BC57">
        <v>780</v>
      </c>
      <c r="BD57">
        <v>805.657</v>
      </c>
      <c r="BE57">
        <v>25.657</v>
      </c>
    </row>
    <row r="58" spans="1:52">
      <c r="A58">
        <v>57</v>
      </c>
      <c r="B58">
        <v>5321</v>
      </c>
      <c r="C58">
        <v>5171.713</v>
      </c>
      <c r="D58">
        <v>-149.287</v>
      </c>
      <c r="K58">
        <v>57</v>
      </c>
      <c r="L58">
        <v>5321</v>
      </c>
      <c r="M58">
        <v>5521.829</v>
      </c>
      <c r="N58">
        <v>200.829</v>
      </c>
      <c r="U58">
        <v>57</v>
      </c>
      <c r="V58">
        <v>5321</v>
      </c>
      <c r="W58">
        <v>5315.5</v>
      </c>
      <c r="X58">
        <v>-5.5</v>
      </c>
      <c r="AE58">
        <v>57</v>
      </c>
      <c r="AF58">
        <v>5321</v>
      </c>
      <c r="AG58">
        <v>5417.333</v>
      </c>
      <c r="AH58">
        <v>96.333</v>
      </c>
      <c r="AN58">
        <v>57</v>
      </c>
      <c r="AO58">
        <v>5321</v>
      </c>
      <c r="AP58">
        <v>5561.608</v>
      </c>
      <c r="AQ58">
        <v>240.608</v>
      </c>
      <c r="AW58">
        <v>57</v>
      </c>
      <c r="AX58">
        <v>5321</v>
      </c>
      <c r="AY58">
        <v>5550.353</v>
      </c>
      <c r="AZ58">
        <v>229.353</v>
      </c>
    </row>
    <row r="59" spans="1:52">
      <c r="A59">
        <v>58</v>
      </c>
      <c r="B59">
        <v>6265</v>
      </c>
      <c r="C59">
        <v>5659.677</v>
      </c>
      <c r="D59">
        <v>-605.323</v>
      </c>
      <c r="K59">
        <v>58</v>
      </c>
      <c r="L59">
        <v>6265</v>
      </c>
      <c r="M59">
        <v>6306.997</v>
      </c>
      <c r="N59">
        <v>41.997</v>
      </c>
      <c r="U59">
        <v>58</v>
      </c>
      <c r="V59">
        <v>6265</v>
      </c>
      <c r="W59">
        <v>6379.8</v>
      </c>
      <c r="X59">
        <v>114.8</v>
      </c>
      <c r="AE59">
        <v>58</v>
      </c>
      <c r="AF59">
        <v>6265</v>
      </c>
      <c r="AG59">
        <v>6456.8</v>
      </c>
      <c r="AH59">
        <v>191.8</v>
      </c>
      <c r="AN59">
        <v>58</v>
      </c>
      <c r="AO59">
        <v>6265</v>
      </c>
      <c r="AP59">
        <v>6033.453</v>
      </c>
      <c r="AQ59">
        <v>-231.547</v>
      </c>
      <c r="AW59">
        <v>58</v>
      </c>
      <c r="AX59">
        <v>6265</v>
      </c>
      <c r="AY59">
        <v>6014.52</v>
      </c>
      <c r="AZ59">
        <v>-250.48</v>
      </c>
    </row>
    <row r="60" spans="1:52">
      <c r="A60">
        <v>59</v>
      </c>
      <c r="B60">
        <v>6347</v>
      </c>
      <c r="C60">
        <v>6147.641</v>
      </c>
      <c r="D60">
        <v>-199.359</v>
      </c>
      <c r="K60">
        <v>59</v>
      </c>
      <c r="L60">
        <v>6347</v>
      </c>
      <c r="M60">
        <v>6419.009</v>
      </c>
      <c r="N60">
        <v>72.009</v>
      </c>
      <c r="U60">
        <v>59</v>
      </c>
      <c r="V60">
        <v>6347</v>
      </c>
      <c r="W60">
        <v>6379.8</v>
      </c>
      <c r="X60">
        <v>32.8</v>
      </c>
      <c r="AE60">
        <v>59</v>
      </c>
      <c r="AF60">
        <v>6347</v>
      </c>
      <c r="AG60">
        <v>6456.8</v>
      </c>
      <c r="AH60">
        <v>109.8</v>
      </c>
      <c r="AN60">
        <v>59</v>
      </c>
      <c r="AO60">
        <v>6347</v>
      </c>
      <c r="AP60">
        <v>6362.54</v>
      </c>
      <c r="AQ60">
        <v>15.54</v>
      </c>
      <c r="AW60">
        <v>59</v>
      </c>
      <c r="AX60">
        <v>6347</v>
      </c>
      <c r="AY60">
        <v>6325.81</v>
      </c>
      <c r="AZ60">
        <v>-21.19</v>
      </c>
    </row>
    <row r="61" spans="1:52">
      <c r="A61">
        <v>60</v>
      </c>
      <c r="B61">
        <v>6397</v>
      </c>
      <c r="C61">
        <v>6391.622</v>
      </c>
      <c r="D61">
        <v>-5.378</v>
      </c>
      <c r="K61">
        <v>60</v>
      </c>
      <c r="L61">
        <v>6397</v>
      </c>
      <c r="M61">
        <v>6491.314</v>
      </c>
      <c r="N61">
        <v>94.314</v>
      </c>
      <c r="U61">
        <v>60</v>
      </c>
      <c r="V61">
        <v>6397</v>
      </c>
      <c r="W61">
        <v>6379.8</v>
      </c>
      <c r="X61">
        <v>-17.2</v>
      </c>
      <c r="AE61">
        <v>60</v>
      </c>
      <c r="AF61">
        <v>6397</v>
      </c>
      <c r="AG61">
        <v>6456.8</v>
      </c>
      <c r="AH61">
        <v>59.8</v>
      </c>
      <c r="AN61">
        <v>60</v>
      </c>
      <c r="AO61">
        <v>6397</v>
      </c>
      <c r="AP61">
        <v>6436.876</v>
      </c>
      <c r="AQ61">
        <v>39.876</v>
      </c>
      <c r="AW61">
        <v>60</v>
      </c>
      <c r="AX61">
        <v>6397</v>
      </c>
      <c r="AY61">
        <v>6425.631</v>
      </c>
      <c r="AZ61">
        <v>28.631</v>
      </c>
    </row>
    <row r="62" spans="1:52">
      <c r="A62">
        <v>61</v>
      </c>
      <c r="B62">
        <v>6434</v>
      </c>
      <c r="C62">
        <v>6635.604</v>
      </c>
      <c r="D62">
        <v>201.604</v>
      </c>
      <c r="K62">
        <v>61</v>
      </c>
      <c r="L62">
        <v>6434</v>
      </c>
      <c r="M62">
        <v>6496.286</v>
      </c>
      <c r="N62">
        <v>62.286</v>
      </c>
      <c r="U62">
        <v>61</v>
      </c>
      <c r="V62">
        <v>6434</v>
      </c>
      <c r="W62">
        <v>6379.8</v>
      </c>
      <c r="X62">
        <v>-54.2</v>
      </c>
      <c r="AE62">
        <v>61</v>
      </c>
      <c r="AF62">
        <v>6434</v>
      </c>
      <c r="AG62">
        <v>6456.8</v>
      </c>
      <c r="AH62">
        <v>22.8</v>
      </c>
      <c r="AN62">
        <v>61</v>
      </c>
      <c r="AO62">
        <v>6434</v>
      </c>
      <c r="AP62">
        <v>6454.639</v>
      </c>
      <c r="AQ62">
        <v>20.639</v>
      </c>
      <c r="AW62">
        <v>61</v>
      </c>
      <c r="AX62">
        <v>6434</v>
      </c>
      <c r="AY62">
        <v>6490.418</v>
      </c>
      <c r="AZ62">
        <v>56.418</v>
      </c>
    </row>
    <row r="63" spans="1:52">
      <c r="A63">
        <v>62</v>
      </c>
      <c r="B63">
        <v>6456</v>
      </c>
      <c r="C63">
        <v>6879.586</v>
      </c>
      <c r="D63">
        <v>423.586</v>
      </c>
      <c r="K63">
        <v>62</v>
      </c>
      <c r="L63">
        <v>6456</v>
      </c>
      <c r="M63">
        <v>6506.824</v>
      </c>
      <c r="N63">
        <v>50.824</v>
      </c>
      <c r="U63">
        <v>62</v>
      </c>
      <c r="V63">
        <v>6456</v>
      </c>
      <c r="W63">
        <v>6379.8</v>
      </c>
      <c r="X63">
        <v>-76.2</v>
      </c>
      <c r="AE63">
        <v>62</v>
      </c>
      <c r="AF63">
        <v>6456</v>
      </c>
      <c r="AG63">
        <v>6456.8</v>
      </c>
      <c r="AH63">
        <v>0.8</v>
      </c>
      <c r="AN63">
        <v>62</v>
      </c>
      <c r="AO63">
        <v>6456</v>
      </c>
      <c r="AP63">
        <v>6428.705</v>
      </c>
      <c r="AQ63">
        <v>-27.295</v>
      </c>
      <c r="AW63">
        <v>62</v>
      </c>
      <c r="AX63">
        <v>6456</v>
      </c>
      <c r="AY63">
        <v>6522.515</v>
      </c>
      <c r="AZ63">
        <v>66.515</v>
      </c>
    </row>
    <row r="64" spans="1:52">
      <c r="A64">
        <v>63</v>
      </c>
      <c r="B64">
        <v>4505</v>
      </c>
      <c r="C64">
        <v>5912.512</v>
      </c>
      <c r="D64">
        <v>1407.512</v>
      </c>
      <c r="K64">
        <v>63</v>
      </c>
      <c r="L64">
        <v>4505</v>
      </c>
      <c r="M64">
        <v>4830.705</v>
      </c>
      <c r="N64">
        <v>325.705</v>
      </c>
      <c r="U64">
        <v>63</v>
      </c>
      <c r="V64">
        <v>4505</v>
      </c>
      <c r="W64">
        <v>4505</v>
      </c>
      <c r="X64">
        <v>0</v>
      </c>
      <c r="AE64">
        <v>63</v>
      </c>
      <c r="AF64">
        <v>4505</v>
      </c>
      <c r="AG64">
        <v>5040.2</v>
      </c>
      <c r="AH64">
        <v>535.2</v>
      </c>
      <c r="AN64">
        <v>63</v>
      </c>
      <c r="AO64">
        <v>4505</v>
      </c>
      <c r="AP64">
        <v>4621.077</v>
      </c>
      <c r="AQ64">
        <v>116.077</v>
      </c>
      <c r="AW64">
        <v>63</v>
      </c>
      <c r="AX64">
        <v>4505</v>
      </c>
      <c r="AY64">
        <v>4925.688</v>
      </c>
      <c r="AZ64">
        <v>420.688</v>
      </c>
    </row>
    <row r="65" spans="1:52">
      <c r="A65">
        <v>64</v>
      </c>
      <c r="B65">
        <v>5501</v>
      </c>
      <c r="C65">
        <v>6246.837</v>
      </c>
      <c r="D65">
        <v>745.837</v>
      </c>
      <c r="K65">
        <v>64</v>
      </c>
      <c r="L65">
        <v>5501</v>
      </c>
      <c r="M65">
        <v>5264.485</v>
      </c>
      <c r="N65">
        <v>-236.515</v>
      </c>
      <c r="U65">
        <v>64</v>
      </c>
      <c r="V65">
        <v>5501</v>
      </c>
      <c r="W65">
        <v>5501</v>
      </c>
      <c r="X65">
        <v>0</v>
      </c>
      <c r="AE65">
        <v>64</v>
      </c>
      <c r="AF65">
        <v>5501</v>
      </c>
      <c r="AG65">
        <v>5040.2</v>
      </c>
      <c r="AH65">
        <v>-460.8</v>
      </c>
      <c r="AN65">
        <v>64</v>
      </c>
      <c r="AO65">
        <v>5501</v>
      </c>
      <c r="AP65">
        <v>5301.118</v>
      </c>
      <c r="AQ65">
        <v>-199.882</v>
      </c>
      <c r="AW65">
        <v>64</v>
      </c>
      <c r="AX65">
        <v>5501</v>
      </c>
      <c r="AY65">
        <v>5648.856</v>
      </c>
      <c r="AZ65">
        <v>147.856</v>
      </c>
    </row>
    <row r="66" spans="1:52">
      <c r="A66">
        <v>65</v>
      </c>
      <c r="B66">
        <v>6602</v>
      </c>
      <c r="C66">
        <v>6915.487</v>
      </c>
      <c r="D66">
        <v>313.487</v>
      </c>
      <c r="K66">
        <v>65</v>
      </c>
      <c r="L66">
        <v>6602</v>
      </c>
      <c r="M66">
        <v>6577.193</v>
      </c>
      <c r="N66">
        <v>-24.807</v>
      </c>
      <c r="U66">
        <v>65</v>
      </c>
      <c r="V66">
        <v>6602</v>
      </c>
      <c r="W66">
        <v>6602</v>
      </c>
      <c r="X66">
        <v>0</v>
      </c>
      <c r="AE66">
        <v>65</v>
      </c>
      <c r="AF66">
        <v>6602</v>
      </c>
      <c r="AG66">
        <v>7248.667</v>
      </c>
      <c r="AH66">
        <v>646.667</v>
      </c>
      <c r="AN66">
        <v>65</v>
      </c>
      <c r="AO66">
        <v>6602</v>
      </c>
      <c r="AP66">
        <v>6954.13</v>
      </c>
      <c r="AQ66">
        <v>352.13</v>
      </c>
      <c r="AW66">
        <v>65</v>
      </c>
      <c r="AX66">
        <v>6602</v>
      </c>
      <c r="AY66">
        <v>6992.351</v>
      </c>
      <c r="AZ66">
        <v>390.351</v>
      </c>
    </row>
    <row r="67" spans="1:52">
      <c r="A67">
        <v>66</v>
      </c>
      <c r="B67">
        <v>7722</v>
      </c>
      <c r="C67">
        <v>7249.813</v>
      </c>
      <c r="D67">
        <v>-472.187</v>
      </c>
      <c r="K67">
        <v>66</v>
      </c>
      <c r="L67">
        <v>7722</v>
      </c>
      <c r="M67">
        <v>7910.022</v>
      </c>
      <c r="N67">
        <v>188.022</v>
      </c>
      <c r="U67">
        <v>66</v>
      </c>
      <c r="V67">
        <v>7722</v>
      </c>
      <c r="W67">
        <v>7722</v>
      </c>
      <c r="X67">
        <v>0</v>
      </c>
      <c r="AE67">
        <v>66</v>
      </c>
      <c r="AF67">
        <v>7722</v>
      </c>
      <c r="AG67">
        <v>7248.667</v>
      </c>
      <c r="AH67">
        <v>-473.333</v>
      </c>
      <c r="AN67">
        <v>66</v>
      </c>
      <c r="AO67">
        <v>7722</v>
      </c>
      <c r="AP67">
        <v>7802.439</v>
      </c>
      <c r="AQ67">
        <v>80.439</v>
      </c>
      <c r="AW67">
        <v>66</v>
      </c>
      <c r="AX67">
        <v>7722</v>
      </c>
      <c r="AY67">
        <v>7595.407</v>
      </c>
      <c r="AZ67">
        <v>-126.593</v>
      </c>
    </row>
    <row r="68" spans="1:52">
      <c r="A68">
        <v>67</v>
      </c>
      <c r="B68">
        <v>9031</v>
      </c>
      <c r="C68">
        <v>7968.722</v>
      </c>
      <c r="D68">
        <v>-1062.278</v>
      </c>
      <c r="K68">
        <v>67</v>
      </c>
      <c r="L68">
        <v>9031</v>
      </c>
      <c r="M68">
        <v>8840.682</v>
      </c>
      <c r="N68">
        <v>-190.318</v>
      </c>
      <c r="U68">
        <v>67</v>
      </c>
      <c r="V68">
        <v>9031</v>
      </c>
      <c r="W68">
        <v>9074</v>
      </c>
      <c r="X68">
        <v>43</v>
      </c>
      <c r="AE68">
        <v>67</v>
      </c>
      <c r="AF68">
        <v>9031</v>
      </c>
      <c r="AG68">
        <v>8914.6</v>
      </c>
      <c r="AH68">
        <v>-116.4</v>
      </c>
      <c r="AN68">
        <v>67</v>
      </c>
      <c r="AO68">
        <v>9031</v>
      </c>
      <c r="AP68">
        <v>8558.433</v>
      </c>
      <c r="AQ68">
        <v>-472.567</v>
      </c>
      <c r="AW68">
        <v>67</v>
      </c>
      <c r="AX68">
        <v>9031</v>
      </c>
      <c r="AY68">
        <v>8143.473</v>
      </c>
      <c r="AZ68">
        <v>-887.527</v>
      </c>
    </row>
    <row r="69" spans="1:52">
      <c r="A69">
        <v>68</v>
      </c>
      <c r="B69">
        <v>9117</v>
      </c>
      <c r="C69">
        <v>8146.098</v>
      </c>
      <c r="D69">
        <v>-970.902</v>
      </c>
      <c r="K69">
        <v>68</v>
      </c>
      <c r="L69">
        <v>9117</v>
      </c>
      <c r="M69">
        <v>8762.587</v>
      </c>
      <c r="N69">
        <v>-354.413</v>
      </c>
      <c r="U69">
        <v>68</v>
      </c>
      <c r="V69">
        <v>9117</v>
      </c>
      <c r="W69">
        <v>9074</v>
      </c>
      <c r="X69">
        <v>-43</v>
      </c>
      <c r="AE69">
        <v>68</v>
      </c>
      <c r="AF69">
        <v>9117</v>
      </c>
      <c r="AG69">
        <v>8914.6</v>
      </c>
      <c r="AH69">
        <v>-202.4</v>
      </c>
      <c r="AN69">
        <v>68</v>
      </c>
      <c r="AO69">
        <v>9117</v>
      </c>
      <c r="AP69">
        <v>9155.328</v>
      </c>
      <c r="AQ69">
        <v>38.328</v>
      </c>
      <c r="AW69">
        <v>68</v>
      </c>
      <c r="AX69">
        <v>9117</v>
      </c>
      <c r="AY69">
        <v>8631.63</v>
      </c>
      <c r="AZ69">
        <v>-485.37</v>
      </c>
    </row>
    <row r="70" spans="1:52">
      <c r="A70">
        <v>69</v>
      </c>
      <c r="B70">
        <v>9810</v>
      </c>
      <c r="C70">
        <v>8802.066</v>
      </c>
      <c r="D70">
        <v>-1007.934</v>
      </c>
      <c r="K70">
        <v>69</v>
      </c>
      <c r="L70">
        <v>9810</v>
      </c>
      <c r="M70">
        <v>9662.935</v>
      </c>
      <c r="N70">
        <v>-147.065</v>
      </c>
      <c r="U70">
        <v>69</v>
      </c>
      <c r="V70">
        <v>9810</v>
      </c>
      <c r="W70">
        <v>9902</v>
      </c>
      <c r="X70">
        <v>92</v>
      </c>
      <c r="AE70">
        <v>69</v>
      </c>
      <c r="AF70">
        <v>9810</v>
      </c>
      <c r="AG70">
        <v>9853.824</v>
      </c>
      <c r="AH70">
        <v>43.824</v>
      </c>
      <c r="AN70">
        <v>69</v>
      </c>
      <c r="AO70">
        <v>9810</v>
      </c>
      <c r="AP70">
        <v>9885.361</v>
      </c>
      <c r="AQ70">
        <v>75.361</v>
      </c>
      <c r="AW70">
        <v>69</v>
      </c>
      <c r="AX70">
        <v>9810</v>
      </c>
      <c r="AY70">
        <v>9712.954</v>
      </c>
      <c r="AZ70">
        <v>-97.046</v>
      </c>
    </row>
    <row r="71" spans="1:52">
      <c r="A71">
        <v>70</v>
      </c>
      <c r="B71">
        <v>9876</v>
      </c>
      <c r="C71">
        <v>8972.948</v>
      </c>
      <c r="D71">
        <v>-903.052</v>
      </c>
      <c r="K71">
        <v>70</v>
      </c>
      <c r="L71">
        <v>9876</v>
      </c>
      <c r="M71">
        <v>9811.793</v>
      </c>
      <c r="N71">
        <v>-64.207</v>
      </c>
      <c r="U71">
        <v>70</v>
      </c>
      <c r="V71">
        <v>9876</v>
      </c>
      <c r="W71">
        <v>9902</v>
      </c>
      <c r="X71">
        <v>26</v>
      </c>
      <c r="AE71">
        <v>70</v>
      </c>
      <c r="AF71">
        <v>9876</v>
      </c>
      <c r="AG71">
        <v>9853.824</v>
      </c>
      <c r="AH71">
        <v>-22.176</v>
      </c>
      <c r="AN71">
        <v>70</v>
      </c>
      <c r="AO71">
        <v>9876</v>
      </c>
      <c r="AP71">
        <v>9902.53</v>
      </c>
      <c r="AQ71">
        <v>26.53</v>
      </c>
      <c r="AW71">
        <v>70</v>
      </c>
      <c r="AX71">
        <v>9876</v>
      </c>
      <c r="AY71">
        <v>9946.124</v>
      </c>
      <c r="AZ71">
        <v>70.124</v>
      </c>
    </row>
    <row r="72" spans="1:52">
      <c r="A72">
        <v>71</v>
      </c>
      <c r="B72">
        <v>9884</v>
      </c>
      <c r="C72">
        <v>9143.83</v>
      </c>
      <c r="D72">
        <v>-740.17</v>
      </c>
      <c r="K72">
        <v>71</v>
      </c>
      <c r="L72">
        <v>9884</v>
      </c>
      <c r="M72">
        <v>9897.482</v>
      </c>
      <c r="N72">
        <v>13.482</v>
      </c>
      <c r="U72">
        <v>71</v>
      </c>
      <c r="V72">
        <v>9884</v>
      </c>
      <c r="W72">
        <v>9902</v>
      </c>
      <c r="X72">
        <v>18</v>
      </c>
      <c r="AE72">
        <v>71</v>
      </c>
      <c r="AF72">
        <v>9884</v>
      </c>
      <c r="AG72">
        <v>9853.824</v>
      </c>
      <c r="AH72">
        <v>-30.176</v>
      </c>
      <c r="AN72">
        <v>71</v>
      </c>
      <c r="AO72">
        <v>9884</v>
      </c>
      <c r="AP72">
        <v>9892.718</v>
      </c>
      <c r="AQ72">
        <v>8.718</v>
      </c>
      <c r="AW72">
        <v>71</v>
      </c>
      <c r="AX72">
        <v>9884</v>
      </c>
      <c r="AY72">
        <v>10119.7</v>
      </c>
      <c r="AZ72">
        <v>235.7</v>
      </c>
    </row>
    <row r="73" spans="1:52">
      <c r="A73">
        <v>72</v>
      </c>
      <c r="B73">
        <v>9942</v>
      </c>
      <c r="C73">
        <v>9314.713</v>
      </c>
      <c r="D73">
        <v>-627.287</v>
      </c>
      <c r="K73">
        <v>72</v>
      </c>
      <c r="L73">
        <v>9942</v>
      </c>
      <c r="M73">
        <v>9866.431</v>
      </c>
      <c r="N73">
        <v>-75.569</v>
      </c>
      <c r="U73">
        <v>72</v>
      </c>
      <c r="V73">
        <v>9942</v>
      </c>
      <c r="W73">
        <v>9902</v>
      </c>
      <c r="X73">
        <v>-40</v>
      </c>
      <c r="AE73">
        <v>72</v>
      </c>
      <c r="AF73">
        <v>9942</v>
      </c>
      <c r="AG73">
        <v>9853.824</v>
      </c>
      <c r="AH73">
        <v>-88.176</v>
      </c>
      <c r="AN73">
        <v>72</v>
      </c>
      <c r="AO73">
        <v>9942</v>
      </c>
      <c r="AP73">
        <v>9889.379</v>
      </c>
      <c r="AQ73">
        <v>-52.621</v>
      </c>
      <c r="AW73">
        <v>72</v>
      </c>
      <c r="AX73">
        <v>9942</v>
      </c>
      <c r="AY73">
        <v>10238.043</v>
      </c>
      <c r="AZ73">
        <v>296.043</v>
      </c>
    </row>
    <row r="74" spans="1:52">
      <c r="A74">
        <v>73</v>
      </c>
      <c r="B74">
        <v>9998</v>
      </c>
      <c r="C74">
        <v>9827.359</v>
      </c>
      <c r="D74">
        <v>-170.641</v>
      </c>
      <c r="K74">
        <v>73</v>
      </c>
      <c r="L74">
        <v>9998</v>
      </c>
      <c r="M74">
        <v>9963.756</v>
      </c>
      <c r="N74">
        <v>-34.244</v>
      </c>
      <c r="U74">
        <v>73</v>
      </c>
      <c r="V74">
        <v>9998</v>
      </c>
      <c r="W74">
        <v>9902</v>
      </c>
      <c r="X74">
        <v>-96</v>
      </c>
      <c r="AE74">
        <v>73</v>
      </c>
      <c r="AF74">
        <v>9998</v>
      </c>
      <c r="AG74">
        <v>9853.824</v>
      </c>
      <c r="AH74">
        <v>-144.176</v>
      </c>
      <c r="AN74">
        <v>73</v>
      </c>
      <c r="AO74">
        <v>9998</v>
      </c>
      <c r="AP74">
        <v>10010.907</v>
      </c>
      <c r="AQ74">
        <v>12.907</v>
      </c>
      <c r="AW74">
        <v>73</v>
      </c>
      <c r="AX74">
        <v>9998</v>
      </c>
      <c r="AY74">
        <v>10318.382</v>
      </c>
      <c r="AZ74">
        <v>320.382</v>
      </c>
    </row>
    <row r="75" spans="1:52">
      <c r="A75">
        <v>74</v>
      </c>
      <c r="B75">
        <v>10141</v>
      </c>
      <c r="C75">
        <v>10169.124</v>
      </c>
      <c r="D75">
        <v>28.124</v>
      </c>
      <c r="K75">
        <v>74</v>
      </c>
      <c r="L75">
        <v>10141</v>
      </c>
      <c r="M75">
        <v>10065.325</v>
      </c>
      <c r="N75">
        <v>-75.675</v>
      </c>
      <c r="U75">
        <v>74</v>
      </c>
      <c r="V75">
        <v>10141</v>
      </c>
      <c r="W75">
        <v>10150.667</v>
      </c>
      <c r="X75">
        <v>9.667</v>
      </c>
      <c r="AE75">
        <v>74</v>
      </c>
      <c r="AF75">
        <v>10141</v>
      </c>
      <c r="AG75">
        <v>9853.824</v>
      </c>
      <c r="AH75">
        <v>-287.176</v>
      </c>
      <c r="AN75">
        <v>74</v>
      </c>
      <c r="AO75">
        <v>10141</v>
      </c>
      <c r="AP75">
        <v>10136.959</v>
      </c>
      <c r="AQ75">
        <v>-4.041</v>
      </c>
      <c r="AW75">
        <v>74</v>
      </c>
      <c r="AX75">
        <v>10141</v>
      </c>
      <c r="AY75">
        <v>10207.574</v>
      </c>
      <c r="AZ75">
        <v>66.574</v>
      </c>
    </row>
    <row r="76" spans="1:52">
      <c r="A76">
        <v>75</v>
      </c>
      <c r="B76">
        <v>10152</v>
      </c>
      <c r="C76">
        <v>10510.889</v>
      </c>
      <c r="D76">
        <v>358.889</v>
      </c>
      <c r="K76">
        <v>75</v>
      </c>
      <c r="L76">
        <v>10152</v>
      </c>
      <c r="M76">
        <v>10104.265</v>
      </c>
      <c r="N76">
        <v>-47.735</v>
      </c>
      <c r="U76">
        <v>75</v>
      </c>
      <c r="V76">
        <v>10152</v>
      </c>
      <c r="W76">
        <v>10150.667</v>
      </c>
      <c r="X76">
        <v>-1.333</v>
      </c>
      <c r="AE76">
        <v>75</v>
      </c>
      <c r="AF76">
        <v>10152</v>
      </c>
      <c r="AG76">
        <v>9853.824</v>
      </c>
      <c r="AH76">
        <v>-298.176</v>
      </c>
      <c r="AN76">
        <v>75</v>
      </c>
      <c r="AO76">
        <v>10152</v>
      </c>
      <c r="AP76">
        <v>10166.26</v>
      </c>
      <c r="AQ76">
        <v>14.26</v>
      </c>
      <c r="AW76">
        <v>75</v>
      </c>
      <c r="AX76">
        <v>10152</v>
      </c>
      <c r="AY76">
        <v>10025.129</v>
      </c>
      <c r="AZ76">
        <v>-126.871</v>
      </c>
    </row>
    <row r="77" spans="1:52">
      <c r="A77">
        <v>76</v>
      </c>
      <c r="B77">
        <v>10159</v>
      </c>
      <c r="C77">
        <v>10681.771</v>
      </c>
      <c r="D77">
        <v>522.771</v>
      </c>
      <c r="K77">
        <v>76</v>
      </c>
      <c r="L77">
        <v>10159</v>
      </c>
      <c r="M77">
        <v>10105.254</v>
      </c>
      <c r="N77">
        <v>-53.746</v>
      </c>
      <c r="U77">
        <v>76</v>
      </c>
      <c r="V77">
        <v>10159</v>
      </c>
      <c r="W77">
        <v>10150.667</v>
      </c>
      <c r="X77">
        <v>-8.333</v>
      </c>
      <c r="AE77">
        <v>76</v>
      </c>
      <c r="AF77">
        <v>10159</v>
      </c>
      <c r="AG77">
        <v>9853.824</v>
      </c>
      <c r="AH77">
        <v>-305.176</v>
      </c>
      <c r="AN77">
        <v>76</v>
      </c>
      <c r="AO77">
        <v>10159</v>
      </c>
      <c r="AP77">
        <v>10106.601</v>
      </c>
      <c r="AQ77">
        <v>-52.399</v>
      </c>
      <c r="AW77">
        <v>76</v>
      </c>
      <c r="AX77">
        <v>10159</v>
      </c>
      <c r="AY77">
        <v>9920.935</v>
      </c>
      <c r="AZ77">
        <v>-238.065</v>
      </c>
    </row>
    <row r="78" spans="1:52">
      <c r="A78">
        <v>77</v>
      </c>
      <c r="B78">
        <v>1232</v>
      </c>
      <c r="C78">
        <v>1456.285</v>
      </c>
      <c r="D78">
        <v>224.285</v>
      </c>
      <c r="K78">
        <v>77</v>
      </c>
      <c r="L78">
        <v>1232</v>
      </c>
      <c r="M78">
        <v>1304.934</v>
      </c>
      <c r="N78">
        <v>72.934</v>
      </c>
      <c r="U78">
        <v>77</v>
      </c>
      <c r="V78">
        <v>1232</v>
      </c>
      <c r="W78">
        <v>1250.333</v>
      </c>
      <c r="X78">
        <v>18.333</v>
      </c>
      <c r="AE78">
        <v>77</v>
      </c>
      <c r="AF78">
        <v>1232</v>
      </c>
      <c r="AG78">
        <v>1206.833</v>
      </c>
      <c r="AH78">
        <v>-25.167</v>
      </c>
      <c r="AN78">
        <v>77</v>
      </c>
      <c r="AO78">
        <v>1232</v>
      </c>
      <c r="AP78">
        <v>1272.41</v>
      </c>
      <c r="AQ78">
        <v>40.41</v>
      </c>
      <c r="AW78">
        <v>77</v>
      </c>
      <c r="AX78">
        <v>1232</v>
      </c>
      <c r="AY78">
        <v>850.865</v>
      </c>
      <c r="AZ78">
        <v>-381.135</v>
      </c>
    </row>
    <row r="79" spans="1:52">
      <c r="A79">
        <v>78</v>
      </c>
      <c r="B79">
        <v>1244</v>
      </c>
      <c r="C79">
        <v>1710.083</v>
      </c>
      <c r="D79">
        <v>466.083</v>
      </c>
      <c r="K79">
        <v>78</v>
      </c>
      <c r="L79">
        <v>1244</v>
      </c>
      <c r="M79">
        <v>1310.362</v>
      </c>
      <c r="N79">
        <v>66.362</v>
      </c>
      <c r="U79">
        <v>78</v>
      </c>
      <c r="V79">
        <v>1244</v>
      </c>
      <c r="W79">
        <v>1250.333</v>
      </c>
      <c r="X79">
        <v>6.333</v>
      </c>
      <c r="AE79">
        <v>78</v>
      </c>
      <c r="AF79">
        <v>1244</v>
      </c>
      <c r="AG79">
        <v>1206.833</v>
      </c>
      <c r="AH79">
        <v>-37.167</v>
      </c>
      <c r="AN79">
        <v>78</v>
      </c>
      <c r="AO79">
        <v>1244</v>
      </c>
      <c r="AP79">
        <v>1212.406</v>
      </c>
      <c r="AQ79">
        <v>-31.594</v>
      </c>
      <c r="AW79">
        <v>78</v>
      </c>
      <c r="AX79">
        <v>1244</v>
      </c>
      <c r="AY79">
        <v>1095.338</v>
      </c>
      <c r="AZ79">
        <v>-148.662</v>
      </c>
    </row>
    <row r="80" spans="1:52">
      <c r="A80">
        <v>79</v>
      </c>
      <c r="B80">
        <v>1275</v>
      </c>
      <c r="C80">
        <v>1963.88</v>
      </c>
      <c r="D80">
        <v>688.88</v>
      </c>
      <c r="K80">
        <v>79</v>
      </c>
      <c r="L80">
        <v>1275</v>
      </c>
      <c r="M80">
        <v>1320.209</v>
      </c>
      <c r="N80">
        <v>45.209</v>
      </c>
      <c r="U80">
        <v>79</v>
      </c>
      <c r="V80">
        <v>1275</v>
      </c>
      <c r="W80">
        <v>1250.333</v>
      </c>
      <c r="X80">
        <v>-24.667</v>
      </c>
      <c r="AE80">
        <v>79</v>
      </c>
      <c r="AF80">
        <v>1275</v>
      </c>
      <c r="AG80">
        <v>1206.833</v>
      </c>
      <c r="AH80">
        <v>-68.167</v>
      </c>
      <c r="AN80">
        <v>79</v>
      </c>
      <c r="AO80">
        <v>1275</v>
      </c>
      <c r="AP80">
        <v>1223.915</v>
      </c>
      <c r="AQ80">
        <v>-51.085</v>
      </c>
      <c r="AW80">
        <v>79</v>
      </c>
      <c r="AX80">
        <v>1275</v>
      </c>
      <c r="AY80">
        <v>1376.995</v>
      </c>
      <c r="AZ80">
        <v>101.995</v>
      </c>
    </row>
    <row r="81" spans="1:52">
      <c r="A81">
        <v>80</v>
      </c>
      <c r="B81">
        <v>1475</v>
      </c>
      <c r="C81">
        <v>2471.474</v>
      </c>
      <c r="D81">
        <v>996.474</v>
      </c>
      <c r="K81">
        <v>80</v>
      </c>
      <c r="L81">
        <v>1475</v>
      </c>
      <c r="M81">
        <v>1639.836</v>
      </c>
      <c r="N81">
        <v>164.836</v>
      </c>
      <c r="U81">
        <v>80</v>
      </c>
      <c r="V81">
        <v>1475</v>
      </c>
      <c r="W81">
        <v>1475</v>
      </c>
      <c r="X81">
        <v>0</v>
      </c>
      <c r="AE81">
        <v>80</v>
      </c>
      <c r="AF81">
        <v>1475</v>
      </c>
      <c r="AG81">
        <v>1206.833</v>
      </c>
      <c r="AH81">
        <v>-268.167</v>
      </c>
      <c r="AN81">
        <v>80</v>
      </c>
      <c r="AO81">
        <v>1475</v>
      </c>
      <c r="AP81">
        <v>1572.864</v>
      </c>
      <c r="AQ81">
        <v>97.864</v>
      </c>
      <c r="AW81">
        <v>80</v>
      </c>
      <c r="AX81">
        <v>1475</v>
      </c>
      <c r="AY81">
        <v>2035.333</v>
      </c>
      <c r="AZ81">
        <v>560.333</v>
      </c>
    </row>
    <row r="82" spans="1:52">
      <c r="A82">
        <v>81</v>
      </c>
      <c r="B82">
        <v>2520</v>
      </c>
      <c r="C82">
        <v>3048.834</v>
      </c>
      <c r="D82">
        <v>528.834</v>
      </c>
      <c r="K82">
        <v>81</v>
      </c>
      <c r="L82">
        <v>2520</v>
      </c>
      <c r="M82">
        <v>2893.21</v>
      </c>
      <c r="N82">
        <v>373.21</v>
      </c>
      <c r="U82">
        <v>81</v>
      </c>
      <c r="V82">
        <v>2520</v>
      </c>
      <c r="W82">
        <v>2520</v>
      </c>
      <c r="X82">
        <v>0</v>
      </c>
      <c r="AE82">
        <v>81</v>
      </c>
      <c r="AF82">
        <v>2520</v>
      </c>
      <c r="AG82">
        <v>2814.5</v>
      </c>
      <c r="AH82">
        <v>294.5</v>
      </c>
      <c r="AN82">
        <v>81</v>
      </c>
      <c r="AO82">
        <v>2520</v>
      </c>
      <c r="AP82">
        <v>2448.442</v>
      </c>
      <c r="AQ82">
        <v>-71.558</v>
      </c>
      <c r="AW82">
        <v>81</v>
      </c>
      <c r="AX82">
        <v>2520</v>
      </c>
      <c r="AY82">
        <v>2785.973</v>
      </c>
      <c r="AZ82">
        <v>265.973</v>
      </c>
    </row>
    <row r="83" spans="1:52">
      <c r="A83">
        <v>82</v>
      </c>
      <c r="B83">
        <v>2879</v>
      </c>
      <c r="C83">
        <v>3333.494</v>
      </c>
      <c r="D83">
        <v>454.494</v>
      </c>
      <c r="K83">
        <v>82</v>
      </c>
      <c r="L83">
        <v>2879</v>
      </c>
      <c r="M83">
        <v>3009.145</v>
      </c>
      <c r="N83">
        <v>130.145</v>
      </c>
      <c r="U83">
        <v>82</v>
      </c>
      <c r="V83">
        <v>2879</v>
      </c>
      <c r="W83">
        <v>2879</v>
      </c>
      <c r="X83">
        <v>0</v>
      </c>
      <c r="AE83">
        <v>82</v>
      </c>
      <c r="AF83">
        <v>2879</v>
      </c>
      <c r="AG83">
        <v>2814.5</v>
      </c>
      <c r="AH83">
        <v>-64.5</v>
      </c>
      <c r="AN83">
        <v>82</v>
      </c>
      <c r="AO83">
        <v>2879</v>
      </c>
      <c r="AP83">
        <v>3035.342</v>
      </c>
      <c r="AQ83">
        <v>156.342</v>
      </c>
      <c r="AW83">
        <v>82</v>
      </c>
      <c r="AX83">
        <v>2879</v>
      </c>
      <c r="AY83">
        <v>3181.119</v>
      </c>
      <c r="AZ83">
        <v>302.119</v>
      </c>
    </row>
    <row r="84" spans="1:52">
      <c r="A84">
        <v>83</v>
      </c>
      <c r="B84">
        <v>3445</v>
      </c>
      <c r="C84">
        <v>3618.153</v>
      </c>
      <c r="D84">
        <v>173.153</v>
      </c>
      <c r="K84">
        <v>83</v>
      </c>
      <c r="L84">
        <v>3445</v>
      </c>
      <c r="M84">
        <v>3620.375</v>
      </c>
      <c r="N84">
        <v>175.375</v>
      </c>
      <c r="U84">
        <v>83</v>
      </c>
      <c r="V84">
        <v>3445</v>
      </c>
      <c r="W84">
        <v>3445</v>
      </c>
      <c r="X84">
        <v>0</v>
      </c>
      <c r="AE84">
        <v>83</v>
      </c>
      <c r="AF84">
        <v>3445</v>
      </c>
      <c r="AG84">
        <v>2814.5</v>
      </c>
      <c r="AH84">
        <v>-630.5</v>
      </c>
      <c r="AN84">
        <v>83</v>
      </c>
      <c r="AO84">
        <v>3445</v>
      </c>
      <c r="AP84">
        <v>3646.811</v>
      </c>
      <c r="AQ84">
        <v>201.811</v>
      </c>
      <c r="AW84">
        <v>83</v>
      </c>
      <c r="AX84">
        <v>3445</v>
      </c>
      <c r="AY84">
        <v>3581.015</v>
      </c>
      <c r="AZ84">
        <v>136.015</v>
      </c>
    </row>
    <row r="85" spans="1:52">
      <c r="A85">
        <v>84</v>
      </c>
      <c r="B85">
        <v>4640</v>
      </c>
      <c r="C85">
        <v>4190.717</v>
      </c>
      <c r="D85">
        <v>-449.283</v>
      </c>
      <c r="K85">
        <v>84</v>
      </c>
      <c r="L85">
        <v>4640</v>
      </c>
      <c r="M85">
        <v>4575.279</v>
      </c>
      <c r="N85">
        <v>-64.721</v>
      </c>
      <c r="U85">
        <v>84</v>
      </c>
      <c r="V85">
        <v>4640</v>
      </c>
      <c r="W85">
        <v>4648</v>
      </c>
      <c r="X85">
        <v>8</v>
      </c>
      <c r="AE85">
        <v>84</v>
      </c>
      <c r="AF85">
        <v>4640</v>
      </c>
      <c r="AG85">
        <v>4498</v>
      </c>
      <c r="AH85">
        <v>-142</v>
      </c>
      <c r="AN85">
        <v>84</v>
      </c>
      <c r="AO85">
        <v>4640</v>
      </c>
      <c r="AP85">
        <v>4215.915</v>
      </c>
      <c r="AQ85">
        <v>-424.085</v>
      </c>
      <c r="AW85">
        <v>84</v>
      </c>
      <c r="AX85">
        <v>4640</v>
      </c>
      <c r="AY85">
        <v>3979.234</v>
      </c>
      <c r="AZ85">
        <v>-660.766</v>
      </c>
    </row>
    <row r="86" spans="1:52">
      <c r="A86">
        <v>85</v>
      </c>
      <c r="B86">
        <v>4656</v>
      </c>
      <c r="C86">
        <v>4434.699</v>
      </c>
      <c r="D86">
        <v>-221.301</v>
      </c>
      <c r="K86">
        <v>85</v>
      </c>
      <c r="L86">
        <v>4656</v>
      </c>
      <c r="M86">
        <v>4839.529</v>
      </c>
      <c r="N86">
        <v>183.529</v>
      </c>
      <c r="U86">
        <v>85</v>
      </c>
      <c r="V86">
        <v>4656</v>
      </c>
      <c r="W86">
        <v>4648</v>
      </c>
      <c r="X86">
        <v>-8</v>
      </c>
      <c r="AE86">
        <v>85</v>
      </c>
      <c r="AF86">
        <v>4656</v>
      </c>
      <c r="AG86">
        <v>4498</v>
      </c>
      <c r="AH86">
        <v>-158</v>
      </c>
      <c r="AN86">
        <v>85</v>
      </c>
      <c r="AO86">
        <v>4656</v>
      </c>
      <c r="AP86">
        <v>4692.146</v>
      </c>
      <c r="AQ86">
        <v>36.146</v>
      </c>
      <c r="AW86">
        <v>85</v>
      </c>
      <c r="AX86">
        <v>4656</v>
      </c>
      <c r="AY86">
        <v>4369.487</v>
      </c>
      <c r="AZ86">
        <v>-286.513</v>
      </c>
    </row>
    <row r="87" spans="1:52">
      <c r="A87">
        <v>86</v>
      </c>
      <c r="B87">
        <v>5621</v>
      </c>
      <c r="C87">
        <v>5410.627</v>
      </c>
      <c r="D87">
        <v>-210.373</v>
      </c>
      <c r="K87">
        <v>86</v>
      </c>
      <c r="L87">
        <v>5621</v>
      </c>
      <c r="M87">
        <v>5822.33</v>
      </c>
      <c r="N87">
        <v>201.33</v>
      </c>
      <c r="U87">
        <v>86</v>
      </c>
      <c r="V87">
        <v>5621</v>
      </c>
      <c r="W87">
        <v>5621</v>
      </c>
      <c r="X87">
        <v>0</v>
      </c>
      <c r="AE87">
        <v>86</v>
      </c>
      <c r="AF87">
        <v>5621</v>
      </c>
      <c r="AG87">
        <v>5417.333</v>
      </c>
      <c r="AH87">
        <v>-203.667</v>
      </c>
      <c r="AN87">
        <v>86</v>
      </c>
      <c r="AO87">
        <v>5621</v>
      </c>
      <c r="AP87">
        <v>5770.116</v>
      </c>
      <c r="AQ87">
        <v>149.116</v>
      </c>
      <c r="AW87">
        <v>86</v>
      </c>
      <c r="AX87">
        <v>5621</v>
      </c>
      <c r="AY87">
        <v>5738.574</v>
      </c>
      <c r="AZ87">
        <v>117.574</v>
      </c>
    </row>
    <row r="88" spans="1:52">
      <c r="A88">
        <v>87</v>
      </c>
      <c r="B88">
        <v>5967</v>
      </c>
      <c r="C88">
        <v>5654.608</v>
      </c>
      <c r="D88">
        <v>-312.392</v>
      </c>
      <c r="K88">
        <v>87</v>
      </c>
      <c r="L88">
        <v>5967</v>
      </c>
      <c r="M88">
        <v>6010.494</v>
      </c>
      <c r="N88">
        <v>43.494</v>
      </c>
      <c r="U88">
        <v>87</v>
      </c>
      <c r="V88">
        <v>5967</v>
      </c>
      <c r="W88">
        <v>5967</v>
      </c>
      <c r="X88">
        <v>0</v>
      </c>
      <c r="AE88">
        <v>87</v>
      </c>
      <c r="AF88">
        <v>5967</v>
      </c>
      <c r="AG88">
        <v>6456.8</v>
      </c>
      <c r="AH88">
        <v>489.8</v>
      </c>
      <c r="AN88">
        <v>87</v>
      </c>
      <c r="AO88">
        <v>5967</v>
      </c>
      <c r="AP88">
        <v>5997.442</v>
      </c>
      <c r="AQ88">
        <v>30.442</v>
      </c>
      <c r="AW88">
        <v>87</v>
      </c>
      <c r="AX88">
        <v>5967</v>
      </c>
      <c r="AY88">
        <v>6009.969</v>
      </c>
      <c r="AZ88">
        <v>42.969</v>
      </c>
    </row>
    <row r="89" spans="1:52">
      <c r="A89">
        <v>88</v>
      </c>
      <c r="B89">
        <v>6611</v>
      </c>
      <c r="C89">
        <v>6142.572</v>
      </c>
      <c r="D89">
        <v>-468.428</v>
      </c>
      <c r="K89">
        <v>88</v>
      </c>
      <c r="L89">
        <v>6611</v>
      </c>
      <c r="M89">
        <v>6637.757</v>
      </c>
      <c r="N89">
        <v>26.757</v>
      </c>
      <c r="U89">
        <v>88</v>
      </c>
      <c r="V89">
        <v>6611</v>
      </c>
      <c r="W89">
        <v>6675.5</v>
      </c>
      <c r="X89">
        <v>64.5</v>
      </c>
      <c r="AE89">
        <v>88</v>
      </c>
      <c r="AF89">
        <v>6611</v>
      </c>
      <c r="AG89">
        <v>6456.8</v>
      </c>
      <c r="AH89">
        <v>-154.2</v>
      </c>
      <c r="AN89">
        <v>88</v>
      </c>
      <c r="AO89">
        <v>6611</v>
      </c>
      <c r="AP89">
        <v>6454.453</v>
      </c>
      <c r="AQ89">
        <v>-156.547</v>
      </c>
      <c r="AW89">
        <v>88</v>
      </c>
      <c r="AX89">
        <v>6611</v>
      </c>
      <c r="AY89">
        <v>6446.245</v>
      </c>
      <c r="AZ89">
        <v>-164.755</v>
      </c>
    </row>
    <row r="90" spans="1:52">
      <c r="A90">
        <v>89</v>
      </c>
      <c r="B90">
        <v>6647</v>
      </c>
      <c r="C90">
        <v>6386.554</v>
      </c>
      <c r="D90">
        <v>-260.446</v>
      </c>
      <c r="K90">
        <v>89</v>
      </c>
      <c r="L90">
        <v>6647</v>
      </c>
      <c r="M90">
        <v>6683.92</v>
      </c>
      <c r="N90">
        <v>36.92</v>
      </c>
      <c r="U90">
        <v>89</v>
      </c>
      <c r="V90">
        <v>6647</v>
      </c>
      <c r="W90">
        <v>6675.5</v>
      </c>
      <c r="X90">
        <v>28.5</v>
      </c>
      <c r="AE90">
        <v>89</v>
      </c>
      <c r="AF90">
        <v>6647</v>
      </c>
      <c r="AG90">
        <v>6456.8</v>
      </c>
      <c r="AH90">
        <v>-190.2</v>
      </c>
      <c r="AN90">
        <v>89</v>
      </c>
      <c r="AO90">
        <v>6647</v>
      </c>
      <c r="AP90">
        <v>6630.315</v>
      </c>
      <c r="AQ90">
        <v>-16.685</v>
      </c>
      <c r="AW90">
        <v>89</v>
      </c>
      <c r="AX90">
        <v>6647</v>
      </c>
      <c r="AY90">
        <v>6608.369</v>
      </c>
      <c r="AZ90">
        <v>-38.631</v>
      </c>
    </row>
    <row r="91" spans="1:52">
      <c r="A91">
        <v>90</v>
      </c>
      <c r="B91">
        <v>6688</v>
      </c>
      <c r="C91">
        <v>6630.536</v>
      </c>
      <c r="D91">
        <v>-57.464</v>
      </c>
      <c r="K91">
        <v>90</v>
      </c>
      <c r="L91">
        <v>6688</v>
      </c>
      <c r="M91">
        <v>6687.015</v>
      </c>
      <c r="N91">
        <v>-0.985</v>
      </c>
      <c r="U91">
        <v>90</v>
      </c>
      <c r="V91">
        <v>6688</v>
      </c>
      <c r="W91">
        <v>6675.5</v>
      </c>
      <c r="X91">
        <v>-12.5</v>
      </c>
      <c r="AE91">
        <v>90</v>
      </c>
      <c r="AF91">
        <v>6688</v>
      </c>
      <c r="AG91">
        <v>6456.8</v>
      </c>
      <c r="AH91">
        <v>-231.2</v>
      </c>
      <c r="AN91">
        <v>90</v>
      </c>
      <c r="AO91">
        <v>6688</v>
      </c>
      <c r="AP91">
        <v>6740.542</v>
      </c>
      <c r="AQ91">
        <v>52.542</v>
      </c>
      <c r="AW91">
        <v>90</v>
      </c>
      <c r="AX91">
        <v>6688</v>
      </c>
      <c r="AY91">
        <v>6732.73</v>
      </c>
      <c r="AZ91">
        <v>44.73</v>
      </c>
    </row>
    <row r="92" spans="1:52">
      <c r="A92">
        <v>91</v>
      </c>
      <c r="B92">
        <v>6756</v>
      </c>
      <c r="C92">
        <v>7118.5</v>
      </c>
      <c r="D92">
        <v>362.5</v>
      </c>
      <c r="K92">
        <v>91</v>
      </c>
      <c r="L92">
        <v>6756</v>
      </c>
      <c r="M92">
        <v>6752.956</v>
      </c>
      <c r="N92">
        <v>-3.044</v>
      </c>
      <c r="U92">
        <v>91</v>
      </c>
      <c r="V92">
        <v>6756</v>
      </c>
      <c r="W92">
        <v>6675.5</v>
      </c>
      <c r="X92">
        <v>-80.5</v>
      </c>
      <c r="AE92">
        <v>91</v>
      </c>
      <c r="AF92">
        <v>6756</v>
      </c>
      <c r="AG92">
        <v>6456.8</v>
      </c>
      <c r="AH92">
        <v>-299.2</v>
      </c>
      <c r="AN92">
        <v>91</v>
      </c>
      <c r="AO92">
        <v>6756</v>
      </c>
      <c r="AP92">
        <v>6757.037</v>
      </c>
      <c r="AQ92">
        <v>1.037</v>
      </c>
      <c r="AW92">
        <v>91</v>
      </c>
      <c r="AX92">
        <v>6756</v>
      </c>
      <c r="AY92">
        <v>6871.627</v>
      </c>
      <c r="AZ92">
        <v>115.627</v>
      </c>
    </row>
    <row r="93" spans="1:52">
      <c r="A93">
        <v>92</v>
      </c>
      <c r="B93">
        <v>2097</v>
      </c>
      <c r="C93">
        <v>1887.65</v>
      </c>
      <c r="D93">
        <v>-209.35</v>
      </c>
      <c r="K93">
        <v>92</v>
      </c>
      <c r="L93">
        <v>2097</v>
      </c>
      <c r="M93">
        <v>2025.117</v>
      </c>
      <c r="N93">
        <v>-71.883</v>
      </c>
      <c r="U93">
        <v>92</v>
      </c>
      <c r="V93">
        <v>2097</v>
      </c>
      <c r="W93">
        <v>2150.556</v>
      </c>
      <c r="X93">
        <v>53.556</v>
      </c>
      <c r="AE93">
        <v>92</v>
      </c>
      <c r="AF93">
        <v>2097</v>
      </c>
      <c r="AG93">
        <v>2141.5</v>
      </c>
      <c r="AH93">
        <v>44.5</v>
      </c>
      <c r="AN93">
        <v>92</v>
      </c>
      <c r="AO93">
        <v>2097</v>
      </c>
      <c r="AP93">
        <v>2112.233</v>
      </c>
      <c r="AQ93">
        <v>15.233</v>
      </c>
      <c r="AW93">
        <v>92</v>
      </c>
      <c r="AX93">
        <v>2097</v>
      </c>
      <c r="AY93">
        <v>2061.251</v>
      </c>
      <c r="AZ93">
        <v>-35.749</v>
      </c>
    </row>
    <row r="94" spans="1:52">
      <c r="A94">
        <v>93</v>
      </c>
      <c r="B94">
        <v>2112</v>
      </c>
      <c r="C94">
        <v>2005.058</v>
      </c>
      <c r="D94">
        <v>-106.942</v>
      </c>
      <c r="K94">
        <v>93</v>
      </c>
      <c r="L94">
        <v>2112</v>
      </c>
      <c r="M94">
        <v>2222.741</v>
      </c>
      <c r="N94">
        <v>110.741</v>
      </c>
      <c r="U94">
        <v>93</v>
      </c>
      <c r="V94">
        <v>2112</v>
      </c>
      <c r="W94">
        <v>2150.556</v>
      </c>
      <c r="X94">
        <v>38.556</v>
      </c>
      <c r="AE94">
        <v>93</v>
      </c>
      <c r="AF94">
        <v>2112</v>
      </c>
      <c r="AG94">
        <v>2141.5</v>
      </c>
      <c r="AH94">
        <v>29.5</v>
      </c>
      <c r="AN94">
        <v>93</v>
      </c>
      <c r="AO94">
        <v>2112</v>
      </c>
      <c r="AP94">
        <v>2104.629</v>
      </c>
      <c r="AQ94">
        <v>-7.371</v>
      </c>
      <c r="AW94">
        <v>93</v>
      </c>
      <c r="AX94">
        <v>2112</v>
      </c>
      <c r="AY94">
        <v>2095.465</v>
      </c>
      <c r="AZ94">
        <v>-16.535</v>
      </c>
    </row>
    <row r="95" spans="1:52">
      <c r="A95">
        <v>94</v>
      </c>
      <c r="B95">
        <v>2113</v>
      </c>
      <c r="C95">
        <v>2063.762</v>
      </c>
      <c r="D95">
        <v>-49.238</v>
      </c>
      <c r="K95">
        <v>94</v>
      </c>
      <c r="L95">
        <v>2113</v>
      </c>
      <c r="M95">
        <v>2129.214</v>
      </c>
      <c r="N95">
        <v>16.214</v>
      </c>
      <c r="U95">
        <v>94</v>
      </c>
      <c r="V95">
        <v>2113</v>
      </c>
      <c r="W95">
        <v>2150.556</v>
      </c>
      <c r="X95">
        <v>37.556</v>
      </c>
      <c r="AE95">
        <v>94</v>
      </c>
      <c r="AF95">
        <v>2113</v>
      </c>
      <c r="AG95">
        <v>2141.5</v>
      </c>
      <c r="AH95">
        <v>28.5</v>
      </c>
      <c r="AN95">
        <v>94</v>
      </c>
      <c r="AO95">
        <v>2113</v>
      </c>
      <c r="AP95">
        <v>2113.917</v>
      </c>
      <c r="AQ95">
        <v>0.917</v>
      </c>
      <c r="AW95">
        <v>94</v>
      </c>
      <c r="AX95">
        <v>2113</v>
      </c>
      <c r="AY95">
        <v>2113.5</v>
      </c>
      <c r="AZ95">
        <v>0.5</v>
      </c>
    </row>
    <row r="96" spans="1:52">
      <c r="A96">
        <v>95</v>
      </c>
      <c r="B96">
        <v>2142</v>
      </c>
      <c r="C96">
        <v>2181.17</v>
      </c>
      <c r="D96">
        <v>39.17</v>
      </c>
      <c r="K96">
        <v>95</v>
      </c>
      <c r="L96">
        <v>2142</v>
      </c>
      <c r="M96">
        <v>2096.567</v>
      </c>
      <c r="N96">
        <v>-45.433</v>
      </c>
      <c r="U96">
        <v>95</v>
      </c>
      <c r="V96">
        <v>2142</v>
      </c>
      <c r="W96">
        <v>2150.556</v>
      </c>
      <c r="X96">
        <v>8.556</v>
      </c>
      <c r="AE96">
        <v>95</v>
      </c>
      <c r="AF96">
        <v>2142</v>
      </c>
      <c r="AG96">
        <v>2141.5</v>
      </c>
      <c r="AH96">
        <v>-0.5</v>
      </c>
      <c r="AN96">
        <v>95</v>
      </c>
      <c r="AO96">
        <v>2142</v>
      </c>
      <c r="AP96">
        <v>2139.4</v>
      </c>
      <c r="AQ96">
        <v>-2.6</v>
      </c>
      <c r="AW96">
        <v>95</v>
      </c>
      <c r="AX96">
        <v>2142</v>
      </c>
      <c r="AY96">
        <v>2148.428</v>
      </c>
      <c r="AZ96">
        <v>6.428</v>
      </c>
    </row>
    <row r="97" spans="1:52">
      <c r="A97">
        <v>96</v>
      </c>
      <c r="B97">
        <v>2149</v>
      </c>
      <c r="C97">
        <v>2239.874</v>
      </c>
      <c r="D97">
        <v>90.874</v>
      </c>
      <c r="K97">
        <v>96</v>
      </c>
      <c r="L97">
        <v>2149</v>
      </c>
      <c r="M97">
        <v>2168.494</v>
      </c>
      <c r="N97">
        <v>19.494</v>
      </c>
      <c r="U97">
        <v>96</v>
      </c>
      <c r="V97">
        <v>2149</v>
      </c>
      <c r="W97">
        <v>2150.556</v>
      </c>
      <c r="X97">
        <v>1.556</v>
      </c>
      <c r="AE97">
        <v>96</v>
      </c>
      <c r="AF97">
        <v>2149</v>
      </c>
      <c r="AG97">
        <v>2141.5</v>
      </c>
      <c r="AH97">
        <v>-7.5</v>
      </c>
      <c r="AN97">
        <v>96</v>
      </c>
      <c r="AO97">
        <v>2149</v>
      </c>
      <c r="AP97">
        <v>2151.437</v>
      </c>
      <c r="AQ97">
        <v>2.437</v>
      </c>
      <c r="AW97">
        <v>96</v>
      </c>
      <c r="AX97">
        <v>2149</v>
      </c>
      <c r="AY97">
        <v>2164.614</v>
      </c>
      <c r="AZ97">
        <v>15.614</v>
      </c>
    </row>
    <row r="98" spans="1:52">
      <c r="A98">
        <v>97</v>
      </c>
      <c r="B98">
        <v>2159</v>
      </c>
      <c r="C98">
        <v>2298.578</v>
      </c>
      <c r="D98">
        <v>139.578</v>
      </c>
      <c r="K98">
        <v>97</v>
      </c>
      <c r="L98">
        <v>2159</v>
      </c>
      <c r="M98">
        <v>2166.335</v>
      </c>
      <c r="N98">
        <v>7.335</v>
      </c>
      <c r="U98">
        <v>97</v>
      </c>
      <c r="V98">
        <v>2159</v>
      </c>
      <c r="W98">
        <v>2150.556</v>
      </c>
      <c r="X98">
        <v>-8.444</v>
      </c>
      <c r="AE98">
        <v>97</v>
      </c>
      <c r="AF98">
        <v>2159</v>
      </c>
      <c r="AG98">
        <v>2141.5</v>
      </c>
      <c r="AH98">
        <v>-17.5</v>
      </c>
      <c r="AN98">
        <v>97</v>
      </c>
      <c r="AO98">
        <v>2159</v>
      </c>
      <c r="AP98">
        <v>2162.726</v>
      </c>
      <c r="AQ98">
        <v>3.726</v>
      </c>
      <c r="AW98">
        <v>97</v>
      </c>
      <c r="AX98">
        <v>2159</v>
      </c>
      <c r="AY98">
        <v>2179.785</v>
      </c>
      <c r="AZ98">
        <v>20.785</v>
      </c>
    </row>
    <row r="99" spans="1:52">
      <c r="A99">
        <v>98</v>
      </c>
      <c r="B99">
        <v>2178</v>
      </c>
      <c r="C99">
        <v>2357.282</v>
      </c>
      <c r="D99">
        <v>179.282</v>
      </c>
      <c r="K99">
        <v>98</v>
      </c>
      <c r="L99">
        <v>2178</v>
      </c>
      <c r="M99">
        <v>2271.518</v>
      </c>
      <c r="N99">
        <v>93.518</v>
      </c>
      <c r="U99">
        <v>98</v>
      </c>
      <c r="V99">
        <v>2178</v>
      </c>
      <c r="W99">
        <v>2150.556</v>
      </c>
      <c r="X99">
        <v>-27.444</v>
      </c>
      <c r="AE99">
        <v>98</v>
      </c>
      <c r="AF99">
        <v>2178</v>
      </c>
      <c r="AG99">
        <v>2141.5</v>
      </c>
      <c r="AH99">
        <v>-36.5</v>
      </c>
      <c r="AN99">
        <v>98</v>
      </c>
      <c r="AO99">
        <v>2178</v>
      </c>
      <c r="AP99">
        <v>2174.335</v>
      </c>
      <c r="AQ99">
        <v>-3.665</v>
      </c>
      <c r="AW99">
        <v>98</v>
      </c>
      <c r="AX99">
        <v>2178</v>
      </c>
      <c r="AY99">
        <v>2194.052</v>
      </c>
      <c r="AZ99">
        <v>16.052</v>
      </c>
    </row>
    <row r="100" spans="1:52">
      <c r="A100">
        <v>99</v>
      </c>
      <c r="B100">
        <v>2182</v>
      </c>
      <c r="C100">
        <v>2415.986</v>
      </c>
      <c r="D100">
        <v>233.986</v>
      </c>
      <c r="K100">
        <v>99</v>
      </c>
      <c r="L100">
        <v>2182</v>
      </c>
      <c r="M100">
        <v>2434.032</v>
      </c>
      <c r="N100">
        <v>252.032</v>
      </c>
      <c r="U100">
        <v>99</v>
      </c>
      <c r="V100">
        <v>2182</v>
      </c>
      <c r="W100">
        <v>2150.556</v>
      </c>
      <c r="X100">
        <v>-31.444</v>
      </c>
      <c r="AE100">
        <v>99</v>
      </c>
      <c r="AF100">
        <v>2182</v>
      </c>
      <c r="AG100">
        <v>2141.5</v>
      </c>
      <c r="AH100">
        <v>-40.5</v>
      </c>
      <c r="AN100">
        <v>99</v>
      </c>
      <c r="AO100">
        <v>2182</v>
      </c>
      <c r="AP100">
        <v>2187.638</v>
      </c>
      <c r="AQ100">
        <v>5.638</v>
      </c>
      <c r="AW100">
        <v>99</v>
      </c>
      <c r="AX100">
        <v>2182</v>
      </c>
      <c r="AY100">
        <v>2207.709</v>
      </c>
      <c r="AZ100">
        <v>25.709</v>
      </c>
    </row>
    <row r="101" spans="1:52">
      <c r="A101">
        <v>100</v>
      </c>
      <c r="B101">
        <v>2223</v>
      </c>
      <c r="C101">
        <v>2533.394</v>
      </c>
      <c r="D101">
        <v>310.394</v>
      </c>
      <c r="K101">
        <v>100</v>
      </c>
      <c r="L101">
        <v>2223</v>
      </c>
      <c r="M101">
        <v>2200.483</v>
      </c>
      <c r="N101">
        <v>-22.517</v>
      </c>
      <c r="U101">
        <v>100</v>
      </c>
      <c r="V101">
        <v>2223</v>
      </c>
      <c r="W101">
        <v>2150.556</v>
      </c>
      <c r="X101">
        <v>-72.444</v>
      </c>
      <c r="AE101">
        <v>100</v>
      </c>
      <c r="AF101">
        <v>2223</v>
      </c>
      <c r="AG101">
        <v>2366</v>
      </c>
      <c r="AH101">
        <v>143</v>
      </c>
      <c r="AN101">
        <v>100</v>
      </c>
      <c r="AO101">
        <v>2223</v>
      </c>
      <c r="AP101">
        <v>2223.551</v>
      </c>
      <c r="AQ101">
        <v>0.551</v>
      </c>
      <c r="AW101">
        <v>100</v>
      </c>
      <c r="AX101">
        <v>2223</v>
      </c>
      <c r="AY101">
        <v>2235.166</v>
      </c>
      <c r="AZ101">
        <v>12.166</v>
      </c>
    </row>
    <row r="102" spans="1:52">
      <c r="A102">
        <v>101</v>
      </c>
      <c r="B102">
        <v>2298</v>
      </c>
      <c r="C102">
        <v>2709.506</v>
      </c>
      <c r="D102">
        <v>411.506</v>
      </c>
      <c r="K102">
        <v>101</v>
      </c>
      <c r="L102">
        <v>2298</v>
      </c>
      <c r="M102">
        <v>2418.298</v>
      </c>
      <c r="N102">
        <v>120.298</v>
      </c>
      <c r="U102">
        <v>101</v>
      </c>
      <c r="V102">
        <v>2298</v>
      </c>
      <c r="W102">
        <v>2389.833</v>
      </c>
      <c r="X102">
        <v>91.833</v>
      </c>
      <c r="AE102">
        <v>101</v>
      </c>
      <c r="AF102">
        <v>2298</v>
      </c>
      <c r="AG102">
        <v>2366</v>
      </c>
      <c r="AH102">
        <v>68</v>
      </c>
      <c r="AN102">
        <v>101</v>
      </c>
      <c r="AO102">
        <v>2298</v>
      </c>
      <c r="AP102">
        <v>2300.741</v>
      </c>
      <c r="AQ102">
        <v>2.741</v>
      </c>
      <c r="AW102">
        <v>101</v>
      </c>
      <c r="AX102">
        <v>2298</v>
      </c>
      <c r="AY102">
        <v>2287.153</v>
      </c>
      <c r="AZ102">
        <v>-10.847</v>
      </c>
    </row>
    <row r="103" spans="1:52">
      <c r="A103">
        <v>102</v>
      </c>
      <c r="B103">
        <v>2312</v>
      </c>
      <c r="C103">
        <v>2768.21</v>
      </c>
      <c r="D103">
        <v>456.21</v>
      </c>
      <c r="K103">
        <v>102</v>
      </c>
      <c r="L103">
        <v>2312</v>
      </c>
      <c r="M103">
        <v>2435.382</v>
      </c>
      <c r="N103">
        <v>123.382</v>
      </c>
      <c r="U103">
        <v>102</v>
      </c>
      <c r="V103">
        <v>2312</v>
      </c>
      <c r="W103">
        <v>2389.833</v>
      </c>
      <c r="X103">
        <v>77.833</v>
      </c>
      <c r="AE103">
        <v>102</v>
      </c>
      <c r="AF103">
        <v>2312</v>
      </c>
      <c r="AG103">
        <v>2366</v>
      </c>
      <c r="AH103">
        <v>54</v>
      </c>
      <c r="AN103">
        <v>102</v>
      </c>
      <c r="AO103">
        <v>2312</v>
      </c>
      <c r="AP103">
        <v>2328.677</v>
      </c>
      <c r="AQ103">
        <v>16.677</v>
      </c>
      <c r="AW103">
        <v>102</v>
      </c>
      <c r="AX103">
        <v>2312</v>
      </c>
      <c r="AY103">
        <v>2310.574</v>
      </c>
      <c r="AZ103">
        <v>-1.426</v>
      </c>
    </row>
    <row r="104" spans="1:52">
      <c r="A104">
        <v>103</v>
      </c>
      <c r="B104">
        <v>2375</v>
      </c>
      <c r="C104">
        <v>2826.914</v>
      </c>
      <c r="D104">
        <v>451.914</v>
      </c>
      <c r="K104">
        <v>103</v>
      </c>
      <c r="L104">
        <v>2375</v>
      </c>
      <c r="M104">
        <v>2401.092</v>
      </c>
      <c r="N104">
        <v>26.092</v>
      </c>
      <c r="U104">
        <v>103</v>
      </c>
      <c r="V104">
        <v>2375</v>
      </c>
      <c r="W104">
        <v>2389.833</v>
      </c>
      <c r="X104">
        <v>14.833</v>
      </c>
      <c r="AE104">
        <v>103</v>
      </c>
      <c r="AF104">
        <v>2375</v>
      </c>
      <c r="AG104">
        <v>2366</v>
      </c>
      <c r="AH104">
        <v>-9</v>
      </c>
      <c r="AN104">
        <v>103</v>
      </c>
      <c r="AO104">
        <v>2375</v>
      </c>
      <c r="AP104">
        <v>2356.017</v>
      </c>
      <c r="AQ104">
        <v>-18.983</v>
      </c>
      <c r="AW104">
        <v>103</v>
      </c>
      <c r="AX104">
        <v>2375</v>
      </c>
      <c r="AY104">
        <v>2338.377</v>
      </c>
      <c r="AZ104">
        <v>-36.623</v>
      </c>
    </row>
    <row r="105" spans="1:52">
      <c r="A105">
        <v>104</v>
      </c>
      <c r="B105">
        <v>2420</v>
      </c>
      <c r="C105">
        <v>2944.322</v>
      </c>
      <c r="D105">
        <v>524.322</v>
      </c>
      <c r="K105">
        <v>104</v>
      </c>
      <c r="L105">
        <v>2420</v>
      </c>
      <c r="M105">
        <v>2331.613</v>
      </c>
      <c r="N105">
        <v>-88.387</v>
      </c>
      <c r="U105">
        <v>104</v>
      </c>
      <c r="V105">
        <v>2420</v>
      </c>
      <c r="W105">
        <v>2389.833</v>
      </c>
      <c r="X105">
        <v>-30.167</v>
      </c>
      <c r="AE105">
        <v>104</v>
      </c>
      <c r="AF105">
        <v>2420</v>
      </c>
      <c r="AG105">
        <v>2366</v>
      </c>
      <c r="AH105">
        <v>-54</v>
      </c>
      <c r="AN105">
        <v>104</v>
      </c>
      <c r="AO105">
        <v>2420</v>
      </c>
      <c r="AP105">
        <v>2414.052</v>
      </c>
      <c r="AQ105">
        <v>-5.948</v>
      </c>
      <c r="AW105">
        <v>104</v>
      </c>
      <c r="AX105">
        <v>2420</v>
      </c>
      <c r="AY105">
        <v>2409.859</v>
      </c>
      <c r="AZ105">
        <v>-10.141</v>
      </c>
    </row>
    <row r="106" spans="1:52">
      <c r="A106">
        <v>105</v>
      </c>
      <c r="B106">
        <v>2450</v>
      </c>
      <c r="C106">
        <v>3003.026</v>
      </c>
      <c r="D106">
        <v>553.026</v>
      </c>
      <c r="K106">
        <v>105</v>
      </c>
      <c r="L106">
        <v>2450</v>
      </c>
      <c r="M106">
        <v>2497.817</v>
      </c>
      <c r="N106">
        <v>47.817</v>
      </c>
      <c r="U106">
        <v>105</v>
      </c>
      <c r="V106">
        <v>2450</v>
      </c>
      <c r="W106">
        <v>2389.833</v>
      </c>
      <c r="X106">
        <v>-60.167</v>
      </c>
      <c r="AE106">
        <v>105</v>
      </c>
      <c r="AF106">
        <v>2450</v>
      </c>
      <c r="AG106">
        <v>2366</v>
      </c>
      <c r="AH106">
        <v>-84</v>
      </c>
      <c r="AN106">
        <v>105</v>
      </c>
      <c r="AO106">
        <v>2450</v>
      </c>
      <c r="AP106">
        <v>2452.272</v>
      </c>
      <c r="AQ106">
        <v>2.272</v>
      </c>
      <c r="AW106">
        <v>105</v>
      </c>
      <c r="AX106">
        <v>2450</v>
      </c>
      <c r="AY106">
        <v>2454.6</v>
      </c>
      <c r="AZ106">
        <v>4.6</v>
      </c>
    </row>
    <row r="107" spans="1:52">
      <c r="A107">
        <v>106</v>
      </c>
      <c r="B107">
        <v>2484</v>
      </c>
      <c r="C107">
        <v>3061.73</v>
      </c>
      <c r="D107">
        <v>577.73</v>
      </c>
      <c r="K107">
        <v>106</v>
      </c>
      <c r="L107">
        <v>2484</v>
      </c>
      <c r="M107">
        <v>2616.204</v>
      </c>
      <c r="N107">
        <v>132.204</v>
      </c>
      <c r="U107">
        <v>106</v>
      </c>
      <c r="V107">
        <v>2484</v>
      </c>
      <c r="W107">
        <v>2389.833</v>
      </c>
      <c r="X107">
        <v>-94.167</v>
      </c>
      <c r="AE107">
        <v>106</v>
      </c>
      <c r="AF107">
        <v>2484</v>
      </c>
      <c r="AG107">
        <v>2366</v>
      </c>
      <c r="AH107">
        <v>-118</v>
      </c>
      <c r="AN107">
        <v>106</v>
      </c>
      <c r="AO107">
        <v>2484</v>
      </c>
      <c r="AP107">
        <v>2503.362</v>
      </c>
      <c r="AQ107">
        <v>19.362</v>
      </c>
      <c r="AW107">
        <v>106</v>
      </c>
      <c r="AX107">
        <v>2484</v>
      </c>
      <c r="AY107">
        <v>2505.796</v>
      </c>
      <c r="AZ107">
        <v>21.796</v>
      </c>
    </row>
    <row r="108" spans="1:52">
      <c r="A108">
        <v>107</v>
      </c>
      <c r="B108">
        <v>450</v>
      </c>
      <c r="C108">
        <v>-248.341</v>
      </c>
      <c r="D108">
        <v>-698.341</v>
      </c>
      <c r="K108">
        <v>107</v>
      </c>
      <c r="L108">
        <v>450</v>
      </c>
      <c r="M108">
        <v>521.506</v>
      </c>
      <c r="N108">
        <v>71.506</v>
      </c>
      <c r="U108">
        <v>107</v>
      </c>
      <c r="V108">
        <v>450</v>
      </c>
      <c r="W108">
        <v>576.333</v>
      </c>
      <c r="X108">
        <v>126.333</v>
      </c>
      <c r="AE108">
        <v>107</v>
      </c>
      <c r="AF108">
        <v>450</v>
      </c>
      <c r="AG108">
        <v>540.333</v>
      </c>
      <c r="AH108">
        <v>90.333</v>
      </c>
      <c r="AN108">
        <v>107</v>
      </c>
      <c r="AO108">
        <v>450</v>
      </c>
      <c r="AP108">
        <v>486.059</v>
      </c>
      <c r="AQ108">
        <v>36.059</v>
      </c>
      <c r="AW108">
        <v>107</v>
      </c>
      <c r="AX108">
        <v>450</v>
      </c>
      <c r="AY108">
        <v>505.925</v>
      </c>
      <c r="AZ108">
        <v>55.925</v>
      </c>
    </row>
    <row r="109" spans="1:52">
      <c r="A109">
        <v>108</v>
      </c>
      <c r="B109">
        <v>470</v>
      </c>
      <c r="C109">
        <v>-189.637</v>
      </c>
      <c r="D109">
        <v>-659.637</v>
      </c>
      <c r="K109">
        <v>108</v>
      </c>
      <c r="L109">
        <v>470</v>
      </c>
      <c r="M109">
        <v>554.084</v>
      </c>
      <c r="N109">
        <v>84.084</v>
      </c>
      <c r="U109">
        <v>108</v>
      </c>
      <c r="V109">
        <v>470</v>
      </c>
      <c r="W109">
        <v>576.333</v>
      </c>
      <c r="X109">
        <v>106.333</v>
      </c>
      <c r="AE109">
        <v>108</v>
      </c>
      <c r="AF109">
        <v>470</v>
      </c>
      <c r="AG109">
        <v>540.333</v>
      </c>
      <c r="AH109">
        <v>70.333</v>
      </c>
      <c r="AN109">
        <v>108</v>
      </c>
      <c r="AO109">
        <v>470</v>
      </c>
      <c r="AP109">
        <v>458.6</v>
      </c>
      <c r="AQ109">
        <v>-11.4</v>
      </c>
      <c r="AW109">
        <v>108</v>
      </c>
      <c r="AX109">
        <v>470</v>
      </c>
      <c r="AY109">
        <v>497.837</v>
      </c>
      <c r="AZ109">
        <v>27.837</v>
      </c>
    </row>
    <row r="110" spans="1:52">
      <c r="A110">
        <v>109</v>
      </c>
      <c r="B110">
        <v>522</v>
      </c>
      <c r="C110">
        <v>-13.525</v>
      </c>
      <c r="D110">
        <v>-535.525</v>
      </c>
      <c r="K110">
        <v>109</v>
      </c>
      <c r="L110">
        <v>522</v>
      </c>
      <c r="M110">
        <v>589.276</v>
      </c>
      <c r="N110">
        <v>67.276</v>
      </c>
      <c r="U110">
        <v>109</v>
      </c>
      <c r="V110">
        <v>522</v>
      </c>
      <c r="W110">
        <v>576.333</v>
      </c>
      <c r="X110">
        <v>54.333</v>
      </c>
      <c r="AE110">
        <v>109</v>
      </c>
      <c r="AF110">
        <v>522</v>
      </c>
      <c r="AG110">
        <v>540.333</v>
      </c>
      <c r="AH110">
        <v>18.333</v>
      </c>
      <c r="AN110">
        <v>109</v>
      </c>
      <c r="AO110">
        <v>522</v>
      </c>
      <c r="AP110">
        <v>518.58</v>
      </c>
      <c r="AQ110">
        <v>-3.42</v>
      </c>
      <c r="AW110">
        <v>109</v>
      </c>
      <c r="AX110">
        <v>522</v>
      </c>
      <c r="AY110">
        <v>515.563</v>
      </c>
      <c r="AZ110">
        <v>-6.437</v>
      </c>
    </row>
    <row r="111" spans="1:52">
      <c r="A111">
        <v>110</v>
      </c>
      <c r="B111">
        <v>590</v>
      </c>
      <c r="C111">
        <v>103.883</v>
      </c>
      <c r="D111">
        <v>-486.117</v>
      </c>
      <c r="K111">
        <v>110</v>
      </c>
      <c r="L111">
        <v>590</v>
      </c>
      <c r="M111">
        <v>627.029</v>
      </c>
      <c r="N111">
        <v>37.029</v>
      </c>
      <c r="U111">
        <v>110</v>
      </c>
      <c r="V111">
        <v>590</v>
      </c>
      <c r="W111">
        <v>576.333</v>
      </c>
      <c r="X111">
        <v>-13.667</v>
      </c>
      <c r="AE111">
        <v>110</v>
      </c>
      <c r="AF111">
        <v>590</v>
      </c>
      <c r="AG111">
        <v>540.333</v>
      </c>
      <c r="AH111">
        <v>-49.667</v>
      </c>
      <c r="AN111">
        <v>110</v>
      </c>
      <c r="AO111">
        <v>590</v>
      </c>
      <c r="AP111">
        <v>583.244</v>
      </c>
      <c r="AQ111">
        <v>-6.756</v>
      </c>
      <c r="AW111">
        <v>110</v>
      </c>
      <c r="AX111">
        <v>590</v>
      </c>
      <c r="AY111">
        <v>549.66</v>
      </c>
      <c r="AZ111">
        <v>-40.34</v>
      </c>
    </row>
    <row r="112" spans="1:52">
      <c r="A112">
        <v>111</v>
      </c>
      <c r="B112">
        <v>598</v>
      </c>
      <c r="C112">
        <v>162.587</v>
      </c>
      <c r="D112">
        <v>-435.413</v>
      </c>
      <c r="K112">
        <v>111</v>
      </c>
      <c r="L112">
        <v>598</v>
      </c>
      <c r="M112">
        <v>733.911</v>
      </c>
      <c r="N112">
        <v>135.911</v>
      </c>
      <c r="U112">
        <v>111</v>
      </c>
      <c r="V112">
        <v>598</v>
      </c>
      <c r="W112">
        <v>576.333</v>
      </c>
      <c r="X112">
        <v>-21.667</v>
      </c>
      <c r="AE112">
        <v>111</v>
      </c>
      <c r="AF112">
        <v>598</v>
      </c>
      <c r="AG112">
        <v>540.333</v>
      </c>
      <c r="AH112">
        <v>-57.667</v>
      </c>
      <c r="AN112">
        <v>111</v>
      </c>
      <c r="AO112">
        <v>598</v>
      </c>
      <c r="AP112">
        <v>605.209</v>
      </c>
      <c r="AQ112">
        <v>7.209</v>
      </c>
      <c r="AW112">
        <v>111</v>
      </c>
      <c r="AX112">
        <v>598</v>
      </c>
      <c r="AY112">
        <v>569.751</v>
      </c>
      <c r="AZ112">
        <v>-28.249</v>
      </c>
    </row>
    <row r="113" spans="1:52">
      <c r="A113">
        <v>112</v>
      </c>
      <c r="B113">
        <v>612</v>
      </c>
      <c r="C113">
        <v>221.291</v>
      </c>
      <c r="D113">
        <v>-390.709</v>
      </c>
      <c r="K113">
        <v>112</v>
      </c>
      <c r="L113">
        <v>612</v>
      </c>
      <c r="M113">
        <v>737.842</v>
      </c>
      <c r="N113">
        <v>125.842</v>
      </c>
      <c r="U113">
        <v>112</v>
      </c>
      <c r="V113">
        <v>612</v>
      </c>
      <c r="W113">
        <v>576.333</v>
      </c>
      <c r="X113">
        <v>-35.667</v>
      </c>
      <c r="AE113">
        <v>112</v>
      </c>
      <c r="AF113">
        <v>612</v>
      </c>
      <c r="AG113">
        <v>540.333</v>
      </c>
      <c r="AH113">
        <v>-71.667</v>
      </c>
      <c r="AN113">
        <v>112</v>
      </c>
      <c r="AO113">
        <v>612</v>
      </c>
      <c r="AP113">
        <v>619.308</v>
      </c>
      <c r="AQ113">
        <v>7.308</v>
      </c>
      <c r="AW113">
        <v>112</v>
      </c>
      <c r="AX113">
        <v>612</v>
      </c>
      <c r="AY113">
        <v>590.494</v>
      </c>
      <c r="AZ113">
        <v>-21.506</v>
      </c>
    </row>
    <row r="114" spans="1:52">
      <c r="A114">
        <v>113</v>
      </c>
      <c r="B114">
        <v>642</v>
      </c>
      <c r="C114">
        <v>338.699</v>
      </c>
      <c r="D114">
        <v>-303.301</v>
      </c>
      <c r="K114">
        <v>113</v>
      </c>
      <c r="L114">
        <v>642</v>
      </c>
      <c r="M114">
        <v>748.119</v>
      </c>
      <c r="N114">
        <v>106.119</v>
      </c>
      <c r="U114">
        <v>113</v>
      </c>
      <c r="V114">
        <v>642</v>
      </c>
      <c r="W114">
        <v>576.333</v>
      </c>
      <c r="X114">
        <v>-65.667</v>
      </c>
      <c r="AE114">
        <v>113</v>
      </c>
      <c r="AF114">
        <v>642</v>
      </c>
      <c r="AG114">
        <v>718.5</v>
      </c>
      <c r="AH114">
        <v>76.5</v>
      </c>
      <c r="AN114">
        <v>113</v>
      </c>
      <c r="AO114">
        <v>642</v>
      </c>
      <c r="AP114">
        <v>633.349</v>
      </c>
      <c r="AQ114">
        <v>-8.651</v>
      </c>
      <c r="AW114">
        <v>113</v>
      </c>
      <c r="AX114">
        <v>642</v>
      </c>
      <c r="AY114">
        <v>630.851</v>
      </c>
      <c r="AZ114">
        <v>-11.149</v>
      </c>
    </row>
    <row r="115" spans="1:52">
      <c r="A115">
        <v>114</v>
      </c>
      <c r="B115">
        <v>649</v>
      </c>
      <c r="C115">
        <v>456.107</v>
      </c>
      <c r="D115">
        <v>-192.893</v>
      </c>
      <c r="K115">
        <v>114</v>
      </c>
      <c r="L115">
        <v>649</v>
      </c>
      <c r="M115">
        <v>684.599</v>
      </c>
      <c r="N115">
        <v>35.599</v>
      </c>
      <c r="U115">
        <v>114</v>
      </c>
      <c r="V115">
        <v>649</v>
      </c>
      <c r="W115">
        <v>576.333</v>
      </c>
      <c r="X115">
        <v>-72.667</v>
      </c>
      <c r="AE115">
        <v>114</v>
      </c>
      <c r="AF115">
        <v>649</v>
      </c>
      <c r="AG115">
        <v>718.5</v>
      </c>
      <c r="AH115">
        <v>69.5</v>
      </c>
      <c r="AN115">
        <v>114</v>
      </c>
      <c r="AO115">
        <v>649</v>
      </c>
      <c r="AP115">
        <v>651.831</v>
      </c>
      <c r="AQ115">
        <v>2.831</v>
      </c>
      <c r="AW115">
        <v>114</v>
      </c>
      <c r="AX115">
        <v>649</v>
      </c>
      <c r="AY115">
        <v>666.683</v>
      </c>
      <c r="AZ115">
        <v>17.683</v>
      </c>
    </row>
    <row r="116" spans="1:52">
      <c r="A116">
        <v>115</v>
      </c>
      <c r="B116">
        <v>654</v>
      </c>
      <c r="C116">
        <v>514.811</v>
      </c>
      <c r="D116">
        <v>-139.189</v>
      </c>
      <c r="K116">
        <v>115</v>
      </c>
      <c r="L116">
        <v>654</v>
      </c>
      <c r="M116">
        <v>724.568</v>
      </c>
      <c r="N116">
        <v>70.568</v>
      </c>
      <c r="U116">
        <v>115</v>
      </c>
      <c r="V116">
        <v>654</v>
      </c>
      <c r="W116">
        <v>576.333</v>
      </c>
      <c r="X116">
        <v>-77.667</v>
      </c>
      <c r="AE116">
        <v>115</v>
      </c>
      <c r="AF116">
        <v>654</v>
      </c>
      <c r="AG116">
        <v>718.5</v>
      </c>
      <c r="AH116">
        <v>64.5</v>
      </c>
      <c r="AN116">
        <v>115</v>
      </c>
      <c r="AO116">
        <v>654</v>
      </c>
      <c r="AP116">
        <v>669.445</v>
      </c>
      <c r="AQ116">
        <v>15.445</v>
      </c>
      <c r="AW116">
        <v>115</v>
      </c>
      <c r="AX116">
        <v>654</v>
      </c>
      <c r="AY116">
        <v>682.636</v>
      </c>
      <c r="AZ116">
        <v>28.636</v>
      </c>
    </row>
    <row r="117" spans="1:52">
      <c r="A117">
        <v>116</v>
      </c>
      <c r="B117">
        <v>710</v>
      </c>
      <c r="C117">
        <v>632.219</v>
      </c>
      <c r="D117">
        <v>-77.781</v>
      </c>
      <c r="K117">
        <v>116</v>
      </c>
      <c r="L117">
        <v>710</v>
      </c>
      <c r="M117">
        <v>785.144</v>
      </c>
      <c r="N117">
        <v>75.144</v>
      </c>
      <c r="U117">
        <v>116</v>
      </c>
      <c r="V117">
        <v>710</v>
      </c>
      <c r="W117">
        <v>760.6</v>
      </c>
      <c r="X117">
        <v>50.6</v>
      </c>
      <c r="AE117">
        <v>116</v>
      </c>
      <c r="AF117">
        <v>710</v>
      </c>
      <c r="AG117">
        <v>718.5</v>
      </c>
      <c r="AH117">
        <v>8.5</v>
      </c>
      <c r="AN117">
        <v>116</v>
      </c>
      <c r="AO117">
        <v>710</v>
      </c>
      <c r="AP117">
        <v>716.583</v>
      </c>
      <c r="AQ117">
        <v>6.583</v>
      </c>
      <c r="AW117">
        <v>116</v>
      </c>
      <c r="AX117">
        <v>710</v>
      </c>
      <c r="AY117">
        <v>712.068</v>
      </c>
      <c r="AZ117">
        <v>2.068</v>
      </c>
    </row>
    <row r="118" spans="1:52">
      <c r="A118">
        <v>117</v>
      </c>
      <c r="B118">
        <v>756</v>
      </c>
      <c r="C118">
        <v>749.627</v>
      </c>
      <c r="D118">
        <v>-6.373</v>
      </c>
      <c r="K118">
        <v>117</v>
      </c>
      <c r="L118">
        <v>756</v>
      </c>
      <c r="M118">
        <v>804.936</v>
      </c>
      <c r="N118">
        <v>48.936</v>
      </c>
      <c r="U118">
        <v>117</v>
      </c>
      <c r="V118">
        <v>756</v>
      </c>
      <c r="W118">
        <v>760.6</v>
      </c>
      <c r="X118">
        <v>4.6</v>
      </c>
      <c r="AE118">
        <v>117</v>
      </c>
      <c r="AF118">
        <v>756</v>
      </c>
      <c r="AG118">
        <v>718.5</v>
      </c>
      <c r="AH118">
        <v>-37.5</v>
      </c>
      <c r="AN118">
        <v>117</v>
      </c>
      <c r="AO118">
        <v>756</v>
      </c>
      <c r="AP118">
        <v>751.856</v>
      </c>
      <c r="AQ118">
        <v>-4.144</v>
      </c>
      <c r="AW118">
        <v>117</v>
      </c>
      <c r="AX118">
        <v>756</v>
      </c>
      <c r="AY118">
        <v>742.447</v>
      </c>
      <c r="AZ118">
        <v>-13.553</v>
      </c>
    </row>
    <row r="119" spans="1:52">
      <c r="A119">
        <v>118</v>
      </c>
      <c r="B119">
        <v>776</v>
      </c>
      <c r="C119">
        <v>808.331</v>
      </c>
      <c r="D119">
        <v>32.331</v>
      </c>
      <c r="K119">
        <v>118</v>
      </c>
      <c r="L119">
        <v>776</v>
      </c>
      <c r="M119">
        <v>761.595</v>
      </c>
      <c r="N119">
        <v>-14.405</v>
      </c>
      <c r="U119">
        <v>118</v>
      </c>
      <c r="V119">
        <v>776</v>
      </c>
      <c r="W119">
        <v>760.6</v>
      </c>
      <c r="X119">
        <v>-15.4</v>
      </c>
      <c r="AE119">
        <v>118</v>
      </c>
      <c r="AF119">
        <v>776</v>
      </c>
      <c r="AG119">
        <v>718.5</v>
      </c>
      <c r="AH119">
        <v>-57.5</v>
      </c>
      <c r="AN119">
        <v>118</v>
      </c>
      <c r="AO119">
        <v>776</v>
      </c>
      <c r="AP119">
        <v>759.666</v>
      </c>
      <c r="AQ119">
        <v>-16.334</v>
      </c>
      <c r="AW119">
        <v>118</v>
      </c>
      <c r="AX119">
        <v>776</v>
      </c>
      <c r="AY119">
        <v>760.148</v>
      </c>
      <c r="AZ119">
        <v>-15.852</v>
      </c>
    </row>
    <row r="120" spans="1:52">
      <c r="A120">
        <v>119</v>
      </c>
      <c r="B120">
        <v>778</v>
      </c>
      <c r="C120">
        <v>867.035</v>
      </c>
      <c r="D120">
        <v>89.035</v>
      </c>
      <c r="K120">
        <v>119</v>
      </c>
      <c r="L120">
        <v>778</v>
      </c>
      <c r="M120">
        <v>859.326</v>
      </c>
      <c r="N120">
        <v>81.326</v>
      </c>
      <c r="U120">
        <v>119</v>
      </c>
      <c r="V120">
        <v>778</v>
      </c>
      <c r="W120">
        <v>760.6</v>
      </c>
      <c r="X120">
        <v>-17.4</v>
      </c>
      <c r="AE120">
        <v>119</v>
      </c>
      <c r="AF120">
        <v>778</v>
      </c>
      <c r="AG120">
        <v>718.5</v>
      </c>
      <c r="AH120">
        <v>-59.5</v>
      </c>
      <c r="AN120">
        <v>119</v>
      </c>
      <c r="AO120">
        <v>778</v>
      </c>
      <c r="AP120">
        <v>767.207</v>
      </c>
      <c r="AQ120">
        <v>-10.793</v>
      </c>
      <c r="AW120">
        <v>119</v>
      </c>
      <c r="AX120">
        <v>778</v>
      </c>
      <c r="AY120">
        <v>780.866</v>
      </c>
      <c r="AZ120">
        <v>2.866</v>
      </c>
    </row>
    <row r="121" spans="1:52">
      <c r="A121">
        <v>120</v>
      </c>
      <c r="B121">
        <v>783</v>
      </c>
      <c r="C121">
        <v>984.443</v>
      </c>
      <c r="D121">
        <v>201.443</v>
      </c>
      <c r="K121">
        <v>120</v>
      </c>
      <c r="L121">
        <v>783</v>
      </c>
      <c r="M121">
        <v>1069.075</v>
      </c>
      <c r="N121">
        <v>286.075</v>
      </c>
      <c r="U121">
        <v>120</v>
      </c>
      <c r="V121">
        <v>783</v>
      </c>
      <c r="W121">
        <v>760.6</v>
      </c>
      <c r="X121">
        <v>-22.4</v>
      </c>
      <c r="AE121">
        <v>120</v>
      </c>
      <c r="AF121">
        <v>783</v>
      </c>
      <c r="AG121">
        <v>718.5</v>
      </c>
      <c r="AH121">
        <v>-64.5</v>
      </c>
      <c r="AN121">
        <v>120</v>
      </c>
      <c r="AO121">
        <v>783</v>
      </c>
      <c r="AP121">
        <v>827.617</v>
      </c>
      <c r="AQ121">
        <v>44.617</v>
      </c>
      <c r="AW121">
        <v>120</v>
      </c>
      <c r="AX121">
        <v>783</v>
      </c>
      <c r="AY121">
        <v>835.561</v>
      </c>
      <c r="AZ121">
        <v>52.561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8" workbookViewId="0">
      <selection activeCell="J28" sqref="J28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9" workbookViewId="0">
      <selection activeCell="I73" sqref="I73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9"/>
  <sheetViews>
    <sheetView workbookViewId="0">
      <selection activeCell="L158" sqref="L158"/>
    </sheetView>
  </sheetViews>
  <sheetFormatPr defaultColWidth="9" defaultRowHeight="14.4"/>
  <sheetData>
    <row r="1" spans="2:28">
      <c r="B1" t="s">
        <v>42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T1" t="s">
        <v>42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</row>
    <row r="2" spans="1:28">
      <c r="A2">
        <v>1</v>
      </c>
      <c r="B2">
        <v>2405</v>
      </c>
      <c r="C2">
        <v>3341.50128947756</v>
      </c>
      <c r="D2">
        <v>2543.92065185175</v>
      </c>
      <c r="E2">
        <v>3340.594</v>
      </c>
      <c r="F2">
        <v>2631.286</v>
      </c>
      <c r="G2">
        <v>2405</v>
      </c>
      <c r="H2">
        <v>3118</v>
      </c>
      <c r="I2">
        <v>2659.25</v>
      </c>
      <c r="J2">
        <v>2521.285</v>
      </c>
      <c r="S2">
        <v>1</v>
      </c>
      <c r="U2">
        <f>($B2-C2)</f>
        <v>-936.501289477558</v>
      </c>
      <c r="V2">
        <f t="shared" ref="V2:AB2" si="0">($B2-D2)</f>
        <v>-138.920651851745</v>
      </c>
      <c r="W2">
        <f t="shared" si="0"/>
        <v>-935.594</v>
      </c>
      <c r="X2">
        <f t="shared" si="0"/>
        <v>-226.286</v>
      </c>
      <c r="Y2">
        <f t="shared" si="0"/>
        <v>0</v>
      </c>
      <c r="Z2">
        <f t="shared" si="0"/>
        <v>-713</v>
      </c>
      <c r="AA2">
        <f t="shared" si="0"/>
        <v>-254.25</v>
      </c>
      <c r="AB2">
        <f t="shared" si="0"/>
        <v>-116.285</v>
      </c>
    </row>
    <row r="3" spans="1:28">
      <c r="A3">
        <f>A2+1</f>
        <v>2</v>
      </c>
      <c r="B3">
        <v>3201</v>
      </c>
      <c r="C3">
        <v>3521.42898378559</v>
      </c>
      <c r="D3">
        <v>2958.4365695964</v>
      </c>
      <c r="E3">
        <v>3489.224</v>
      </c>
      <c r="F3">
        <v>3157.045</v>
      </c>
      <c r="G3">
        <v>3296.25</v>
      </c>
      <c r="H3">
        <v>3118</v>
      </c>
      <c r="I3">
        <v>2876.124</v>
      </c>
      <c r="J3">
        <v>2878.83</v>
      </c>
      <c r="S3">
        <f>S2+1</f>
        <v>2</v>
      </c>
      <c r="U3">
        <f t="shared" ref="U3:U66" si="1">($B3-C3)</f>
        <v>-320.428983785591</v>
      </c>
      <c r="V3">
        <f t="shared" ref="V3:V66" si="2">($B3-D3)</f>
        <v>242.5634304036</v>
      </c>
      <c r="W3">
        <f t="shared" ref="W3:W66" si="3">($B3-E3)</f>
        <v>-288.224</v>
      </c>
      <c r="X3">
        <f t="shared" ref="X3:X66" si="4">($B3-F3)</f>
        <v>43.9549999999999</v>
      </c>
      <c r="Y3">
        <f t="shared" ref="Y3:Y66" si="5">($B3-G3)</f>
        <v>-95.25</v>
      </c>
      <c r="Z3">
        <f t="shared" ref="Z3:Z66" si="6">($B3-H3)</f>
        <v>83</v>
      </c>
      <c r="AA3">
        <f t="shared" ref="AA3:AA66" si="7">($B3-I3)</f>
        <v>324.876</v>
      </c>
      <c r="AB3">
        <f t="shared" ref="AB3:AB66" si="8">($B3-J3)</f>
        <v>322.17</v>
      </c>
    </row>
    <row r="4" spans="1:28">
      <c r="A4">
        <f t="shared" ref="A4:A67" si="9">A3+1</f>
        <v>3</v>
      </c>
      <c r="B4">
        <v>3260</v>
      </c>
      <c r="C4">
        <v>3701.35667809362</v>
      </c>
      <c r="D4">
        <v>3292.88755680551</v>
      </c>
      <c r="E4">
        <v>3637.854</v>
      </c>
      <c r="F4">
        <v>3267.629</v>
      </c>
      <c r="G4">
        <v>3296.25</v>
      </c>
      <c r="H4">
        <v>3118</v>
      </c>
      <c r="I4">
        <v>3126.861</v>
      </c>
      <c r="J4">
        <v>3231.297</v>
      </c>
      <c r="S4">
        <f t="shared" ref="S4:S67" si="10">S3+1</f>
        <v>3</v>
      </c>
      <c r="U4">
        <f t="shared" si="1"/>
        <v>-441.356678093625</v>
      </c>
      <c r="V4">
        <f t="shared" si="2"/>
        <v>-32.88755680551</v>
      </c>
      <c r="W4">
        <f t="shared" si="3"/>
        <v>-377.854</v>
      </c>
      <c r="X4">
        <f t="shared" si="4"/>
        <v>-7.62899999999991</v>
      </c>
      <c r="Y4">
        <f t="shared" si="5"/>
        <v>-36.25</v>
      </c>
      <c r="Z4">
        <f t="shared" si="6"/>
        <v>142</v>
      </c>
      <c r="AA4">
        <f t="shared" si="7"/>
        <v>133.139</v>
      </c>
      <c r="AB4">
        <f t="shared" si="8"/>
        <v>28.703</v>
      </c>
    </row>
    <row r="5" spans="1:28">
      <c r="A5">
        <f t="shared" si="9"/>
        <v>4</v>
      </c>
      <c r="B5">
        <v>3302</v>
      </c>
      <c r="C5">
        <v>3881.28437240166</v>
      </c>
      <c r="D5">
        <v>3578.13282256534</v>
      </c>
      <c r="E5">
        <v>3786.484</v>
      </c>
      <c r="F5">
        <v>3346.119</v>
      </c>
      <c r="G5">
        <v>3296.25</v>
      </c>
      <c r="H5">
        <v>3118</v>
      </c>
      <c r="I5">
        <v>3417.475</v>
      </c>
      <c r="J5">
        <v>3573.393</v>
      </c>
      <c r="S5">
        <f t="shared" si="10"/>
        <v>4</v>
      </c>
      <c r="U5">
        <f t="shared" si="1"/>
        <v>-579.284372401659</v>
      </c>
      <c r="V5">
        <f t="shared" si="2"/>
        <v>-276.132822565338</v>
      </c>
      <c r="W5">
        <f t="shared" si="3"/>
        <v>-484.484</v>
      </c>
      <c r="X5">
        <f t="shared" si="4"/>
        <v>-44.1190000000001</v>
      </c>
      <c r="Y5">
        <f t="shared" si="5"/>
        <v>5.75</v>
      </c>
      <c r="Z5">
        <f t="shared" si="6"/>
        <v>184</v>
      </c>
      <c r="AA5">
        <f t="shared" si="7"/>
        <v>-115.475</v>
      </c>
      <c r="AB5">
        <f t="shared" si="8"/>
        <v>-271.393</v>
      </c>
    </row>
    <row r="6" spans="1:28">
      <c r="A6">
        <f t="shared" si="9"/>
        <v>5</v>
      </c>
      <c r="B6">
        <v>3422</v>
      </c>
      <c r="C6">
        <v>4061.21206670969</v>
      </c>
      <c r="D6">
        <v>3829.44293507394</v>
      </c>
      <c r="E6">
        <v>3935.114</v>
      </c>
      <c r="F6">
        <v>3475.343</v>
      </c>
      <c r="G6">
        <v>3296.25</v>
      </c>
      <c r="H6">
        <v>3118</v>
      </c>
      <c r="I6">
        <v>3750.723</v>
      </c>
      <c r="J6">
        <v>3900.265</v>
      </c>
      <c r="S6">
        <f t="shared" si="10"/>
        <v>5</v>
      </c>
      <c r="U6">
        <f t="shared" si="1"/>
        <v>-639.212066709693</v>
      </c>
      <c r="V6">
        <f t="shared" si="2"/>
        <v>-407.442935073944</v>
      </c>
      <c r="W6">
        <f t="shared" si="3"/>
        <v>-513.114</v>
      </c>
      <c r="X6">
        <f t="shared" si="4"/>
        <v>-53.3429999999998</v>
      </c>
      <c r="Y6">
        <f t="shared" si="5"/>
        <v>125.75</v>
      </c>
      <c r="Z6">
        <f t="shared" si="6"/>
        <v>304</v>
      </c>
      <c r="AA6">
        <f t="shared" si="7"/>
        <v>-328.723</v>
      </c>
      <c r="AB6">
        <f t="shared" si="8"/>
        <v>-478.265</v>
      </c>
    </row>
    <row r="7" spans="1:28">
      <c r="A7">
        <f t="shared" si="9"/>
        <v>6</v>
      </c>
      <c r="B7">
        <v>4825</v>
      </c>
      <c r="C7">
        <v>4421.06745532576</v>
      </c>
      <c r="D7">
        <v>4262.36111329642</v>
      </c>
      <c r="E7">
        <v>4338.719</v>
      </c>
      <c r="F7">
        <v>4610.724</v>
      </c>
      <c r="G7">
        <v>4858</v>
      </c>
      <c r="H7">
        <v>5477.545</v>
      </c>
      <c r="I7">
        <v>4491.292</v>
      </c>
      <c r="J7">
        <v>4491.902</v>
      </c>
      <c r="S7">
        <f t="shared" si="10"/>
        <v>6</v>
      </c>
      <c r="U7">
        <f t="shared" si="1"/>
        <v>403.93254467424</v>
      </c>
      <c r="V7">
        <f t="shared" si="2"/>
        <v>562.638886703577</v>
      </c>
      <c r="W7">
        <f t="shared" si="3"/>
        <v>486.281</v>
      </c>
      <c r="X7">
        <f t="shared" si="4"/>
        <v>214.276</v>
      </c>
      <c r="Y7">
        <f t="shared" si="5"/>
        <v>-33</v>
      </c>
      <c r="Z7">
        <f t="shared" si="6"/>
        <v>-652.545</v>
      </c>
      <c r="AA7">
        <f t="shared" si="7"/>
        <v>333.708</v>
      </c>
      <c r="AB7">
        <f t="shared" si="8"/>
        <v>333.098</v>
      </c>
    </row>
    <row r="8" spans="1:28">
      <c r="A8">
        <f t="shared" si="9"/>
        <v>7</v>
      </c>
      <c r="B8">
        <v>4865</v>
      </c>
      <c r="C8">
        <v>4600.99514963379</v>
      </c>
      <c r="D8">
        <v>4453.42664758774</v>
      </c>
      <c r="E8">
        <v>4471.687</v>
      </c>
      <c r="F8">
        <v>4740.76</v>
      </c>
      <c r="G8">
        <v>4858</v>
      </c>
      <c r="H8">
        <v>5477.545</v>
      </c>
      <c r="I8">
        <v>4841.062</v>
      </c>
      <c r="J8">
        <v>4750.228</v>
      </c>
      <c r="S8">
        <f t="shared" si="10"/>
        <v>7</v>
      </c>
      <c r="U8">
        <f t="shared" si="1"/>
        <v>264.004850366206</v>
      </c>
      <c r="V8">
        <f t="shared" si="2"/>
        <v>411.573352412262</v>
      </c>
      <c r="W8">
        <f t="shared" si="3"/>
        <v>393.313</v>
      </c>
      <c r="X8">
        <f t="shared" si="4"/>
        <v>124.24</v>
      </c>
      <c r="Y8">
        <f t="shared" si="5"/>
        <v>7</v>
      </c>
      <c r="Z8">
        <f t="shared" si="6"/>
        <v>-612.545</v>
      </c>
      <c r="AA8">
        <f t="shared" si="7"/>
        <v>23.9380000000001</v>
      </c>
      <c r="AB8">
        <f t="shared" si="8"/>
        <v>114.772</v>
      </c>
    </row>
    <row r="9" spans="1:28">
      <c r="A9">
        <f t="shared" si="9"/>
        <v>8</v>
      </c>
      <c r="B9">
        <v>4884</v>
      </c>
      <c r="C9">
        <v>4780.92284394183</v>
      </c>
      <c r="D9">
        <v>4631.58669648217</v>
      </c>
      <c r="E9">
        <v>4604.656</v>
      </c>
      <c r="F9">
        <v>4980.037</v>
      </c>
      <c r="G9">
        <v>4858</v>
      </c>
      <c r="H9">
        <v>5477.545</v>
      </c>
      <c r="I9">
        <v>5136.908</v>
      </c>
      <c r="J9">
        <v>4980.585</v>
      </c>
      <c r="S9">
        <f t="shared" si="10"/>
        <v>8</v>
      </c>
      <c r="U9">
        <f t="shared" si="1"/>
        <v>103.077156058172</v>
      </c>
      <c r="V9">
        <f t="shared" si="2"/>
        <v>252.413303517834</v>
      </c>
      <c r="W9">
        <f t="shared" si="3"/>
        <v>279.344</v>
      </c>
      <c r="X9">
        <f t="shared" si="4"/>
        <v>-96.0370000000003</v>
      </c>
      <c r="Y9">
        <f t="shared" si="5"/>
        <v>26</v>
      </c>
      <c r="Z9">
        <f t="shared" si="6"/>
        <v>-593.545</v>
      </c>
      <c r="AA9">
        <f t="shared" si="7"/>
        <v>-252.908</v>
      </c>
      <c r="AB9">
        <f t="shared" si="8"/>
        <v>-96.585</v>
      </c>
    </row>
    <row r="10" spans="1:28">
      <c r="A10">
        <f t="shared" si="9"/>
        <v>9</v>
      </c>
      <c r="B10">
        <v>5510</v>
      </c>
      <c r="C10">
        <v>4960.85053824986</v>
      </c>
      <c r="D10">
        <v>4798.88427421617</v>
      </c>
      <c r="E10">
        <v>4765.653</v>
      </c>
      <c r="F10">
        <v>5473.096</v>
      </c>
      <c r="G10">
        <v>5510</v>
      </c>
      <c r="H10">
        <v>5477.545</v>
      </c>
      <c r="I10">
        <v>5361.993</v>
      </c>
      <c r="J10">
        <v>5181.779</v>
      </c>
      <c r="S10">
        <f t="shared" si="10"/>
        <v>9</v>
      </c>
      <c r="U10">
        <f t="shared" si="1"/>
        <v>549.149461750138</v>
      </c>
      <c r="V10">
        <f t="shared" si="2"/>
        <v>711.115725783832</v>
      </c>
      <c r="W10">
        <f t="shared" si="3"/>
        <v>744.347</v>
      </c>
      <c r="X10">
        <f t="shared" si="4"/>
        <v>36.9040000000005</v>
      </c>
      <c r="Y10">
        <f t="shared" si="5"/>
        <v>0</v>
      </c>
      <c r="Z10">
        <f t="shared" si="6"/>
        <v>32.4549999999999</v>
      </c>
      <c r="AA10">
        <f t="shared" si="7"/>
        <v>148.007</v>
      </c>
      <c r="AB10">
        <f t="shared" si="8"/>
        <v>328.221</v>
      </c>
    </row>
    <row r="11" spans="1:28">
      <c r="A11">
        <f t="shared" si="9"/>
        <v>10</v>
      </c>
      <c r="B11">
        <v>5642</v>
      </c>
      <c r="C11">
        <v>5500.63362117396</v>
      </c>
      <c r="D11">
        <v>5249.68450086011</v>
      </c>
      <c r="E11">
        <v>5159.555</v>
      </c>
      <c r="F11">
        <v>5585.9</v>
      </c>
      <c r="G11">
        <v>5658.5</v>
      </c>
      <c r="H11">
        <v>5477.545</v>
      </c>
      <c r="I11">
        <v>5652.267</v>
      </c>
      <c r="J11">
        <v>5610.529</v>
      </c>
      <c r="S11">
        <f t="shared" si="10"/>
        <v>10</v>
      </c>
      <c r="U11">
        <f t="shared" si="1"/>
        <v>141.366378826036</v>
      </c>
      <c r="V11">
        <f t="shared" si="2"/>
        <v>392.315499139888</v>
      </c>
      <c r="W11">
        <f t="shared" si="3"/>
        <v>482.445</v>
      </c>
      <c r="X11">
        <f t="shared" si="4"/>
        <v>56.1000000000004</v>
      </c>
      <c r="Y11">
        <f t="shared" si="5"/>
        <v>-16.5</v>
      </c>
      <c r="Z11">
        <f t="shared" si="6"/>
        <v>164.455</v>
      </c>
      <c r="AA11">
        <f t="shared" si="7"/>
        <v>-10.2669999999998</v>
      </c>
      <c r="AB11">
        <f t="shared" si="8"/>
        <v>31.4709999999995</v>
      </c>
    </row>
    <row r="12" spans="1:28">
      <c r="A12">
        <f t="shared" si="9"/>
        <v>11</v>
      </c>
      <c r="B12">
        <v>5675</v>
      </c>
      <c r="C12">
        <v>5680.561315482</v>
      </c>
      <c r="D12">
        <v>5386.27470481637</v>
      </c>
      <c r="E12">
        <v>5290.856</v>
      </c>
      <c r="F12">
        <v>5616.547</v>
      </c>
      <c r="G12">
        <v>5658.5</v>
      </c>
      <c r="H12">
        <v>5477.545</v>
      </c>
      <c r="I12">
        <v>5675.669</v>
      </c>
      <c r="J12">
        <v>5698.853</v>
      </c>
      <c r="S12">
        <f t="shared" si="10"/>
        <v>11</v>
      </c>
      <c r="U12">
        <f t="shared" si="1"/>
        <v>-5.56131548199664</v>
      </c>
      <c r="V12">
        <f t="shared" si="2"/>
        <v>288.72529518363</v>
      </c>
      <c r="W12">
        <f t="shared" si="3"/>
        <v>384.144</v>
      </c>
      <c r="X12">
        <f t="shared" si="4"/>
        <v>58.4530000000004</v>
      </c>
      <c r="Y12">
        <f t="shared" si="5"/>
        <v>16.5</v>
      </c>
      <c r="Z12">
        <f t="shared" si="6"/>
        <v>197.455</v>
      </c>
      <c r="AA12">
        <f t="shared" si="7"/>
        <v>-0.668999999999869</v>
      </c>
      <c r="AB12">
        <f t="shared" si="8"/>
        <v>-23.8530000000001</v>
      </c>
    </row>
    <row r="13" spans="1:28">
      <c r="A13">
        <f t="shared" si="9"/>
        <v>12</v>
      </c>
      <c r="B13">
        <v>5685</v>
      </c>
      <c r="C13">
        <v>5860.48900979003</v>
      </c>
      <c r="D13">
        <v>5517.2616576578</v>
      </c>
      <c r="E13">
        <v>5422.157</v>
      </c>
      <c r="F13">
        <v>5601.204</v>
      </c>
      <c r="G13">
        <v>5770.4</v>
      </c>
      <c r="H13">
        <v>5477.545</v>
      </c>
      <c r="I13">
        <v>5692.819</v>
      </c>
      <c r="J13">
        <v>5763.233</v>
      </c>
      <c r="S13">
        <f t="shared" si="10"/>
        <v>12</v>
      </c>
      <c r="U13">
        <f t="shared" si="1"/>
        <v>-175.48900979003</v>
      </c>
      <c r="V13">
        <f t="shared" si="2"/>
        <v>167.738342342197</v>
      </c>
      <c r="W13">
        <f t="shared" si="3"/>
        <v>262.843</v>
      </c>
      <c r="X13">
        <f t="shared" si="4"/>
        <v>83.7960000000003</v>
      </c>
      <c r="Y13">
        <f t="shared" si="5"/>
        <v>-85.3999999999996</v>
      </c>
      <c r="Z13">
        <f t="shared" si="6"/>
        <v>207.455</v>
      </c>
      <c r="AA13">
        <f t="shared" si="7"/>
        <v>-7.81900000000041</v>
      </c>
      <c r="AB13">
        <f t="shared" si="8"/>
        <v>-78.2330000000002</v>
      </c>
    </row>
    <row r="14" spans="1:28">
      <c r="A14">
        <f t="shared" si="9"/>
        <v>13</v>
      </c>
      <c r="B14">
        <v>5698</v>
      </c>
      <c r="C14">
        <v>6040.41670409806</v>
      </c>
      <c r="D14">
        <v>5643.20508587503</v>
      </c>
      <c r="E14">
        <v>5553.457</v>
      </c>
      <c r="F14">
        <v>5601.201</v>
      </c>
      <c r="G14">
        <v>5770.4</v>
      </c>
      <c r="H14">
        <v>5477.545</v>
      </c>
      <c r="I14">
        <v>5714.898</v>
      </c>
      <c r="J14">
        <v>5806.356</v>
      </c>
      <c r="S14">
        <f t="shared" si="10"/>
        <v>13</v>
      </c>
      <c r="U14">
        <f t="shared" si="1"/>
        <v>-342.416704098065</v>
      </c>
      <c r="V14">
        <f t="shared" si="2"/>
        <v>54.7949141249737</v>
      </c>
      <c r="W14">
        <f t="shared" si="3"/>
        <v>144.543</v>
      </c>
      <c r="X14">
        <f t="shared" si="4"/>
        <v>96.799</v>
      </c>
      <c r="Y14">
        <f t="shared" si="5"/>
        <v>-72.3999999999996</v>
      </c>
      <c r="Z14">
        <f t="shared" si="6"/>
        <v>220.455</v>
      </c>
      <c r="AA14">
        <f t="shared" si="7"/>
        <v>-16.8980000000001</v>
      </c>
      <c r="AB14">
        <f t="shared" si="8"/>
        <v>-108.356</v>
      </c>
    </row>
    <row r="15" spans="1:28">
      <c r="A15">
        <f t="shared" si="9"/>
        <v>14</v>
      </c>
      <c r="B15">
        <v>5758</v>
      </c>
      <c r="C15">
        <v>6220.3443984061</v>
      </c>
      <c r="D15">
        <v>5764.579639036</v>
      </c>
      <c r="E15">
        <v>5684.758</v>
      </c>
      <c r="F15">
        <v>5603.553</v>
      </c>
      <c r="G15">
        <v>5770.4</v>
      </c>
      <c r="H15">
        <v>5477.545</v>
      </c>
      <c r="I15">
        <v>5745.628</v>
      </c>
      <c r="J15">
        <v>5831.178</v>
      </c>
      <c r="S15">
        <f t="shared" si="10"/>
        <v>14</v>
      </c>
      <c r="U15">
        <f t="shared" si="1"/>
        <v>-462.344398406098</v>
      </c>
      <c r="V15">
        <f t="shared" si="2"/>
        <v>-6.57963903599648</v>
      </c>
      <c r="W15">
        <f t="shared" si="3"/>
        <v>73.2420000000002</v>
      </c>
      <c r="X15">
        <f t="shared" si="4"/>
        <v>154.447</v>
      </c>
      <c r="Y15">
        <f t="shared" si="5"/>
        <v>-12.3999999999996</v>
      </c>
      <c r="Z15">
        <f t="shared" si="6"/>
        <v>280.455</v>
      </c>
      <c r="AA15">
        <f t="shared" si="7"/>
        <v>12.3720000000003</v>
      </c>
      <c r="AB15">
        <f t="shared" si="8"/>
        <v>-73.1779999999999</v>
      </c>
    </row>
    <row r="16" spans="1:28">
      <c r="A16">
        <f t="shared" si="9"/>
        <v>15</v>
      </c>
      <c r="B16">
        <v>5852</v>
      </c>
      <c r="C16">
        <v>6760.1274813302</v>
      </c>
      <c r="D16">
        <v>6105.08767043615</v>
      </c>
      <c r="E16">
        <v>6078.66</v>
      </c>
      <c r="F16">
        <v>5704.534</v>
      </c>
      <c r="G16">
        <v>5770.4</v>
      </c>
      <c r="H16">
        <v>5477.545</v>
      </c>
      <c r="I16">
        <v>5843.71</v>
      </c>
      <c r="J16">
        <v>5826.833</v>
      </c>
      <c r="S16">
        <f t="shared" si="10"/>
        <v>15</v>
      </c>
      <c r="U16">
        <f t="shared" si="1"/>
        <v>-908.127481330199</v>
      </c>
      <c r="V16">
        <f t="shared" si="2"/>
        <v>-253.087670436149</v>
      </c>
      <c r="W16">
        <f t="shared" si="3"/>
        <v>-226.66</v>
      </c>
      <c r="X16">
        <f t="shared" si="4"/>
        <v>147.466</v>
      </c>
      <c r="Y16">
        <f t="shared" si="5"/>
        <v>81.6000000000004</v>
      </c>
      <c r="Z16">
        <f t="shared" si="6"/>
        <v>374.455</v>
      </c>
      <c r="AA16">
        <f t="shared" si="7"/>
        <v>8.28999999999996</v>
      </c>
      <c r="AB16">
        <f t="shared" si="8"/>
        <v>25.1670000000004</v>
      </c>
    </row>
    <row r="17" spans="1:28">
      <c r="A17">
        <f t="shared" si="9"/>
        <v>16</v>
      </c>
      <c r="B17">
        <v>5859</v>
      </c>
      <c r="C17">
        <v>6940.05517563823</v>
      </c>
      <c r="D17">
        <v>6211.74496995946</v>
      </c>
      <c r="E17">
        <v>6209.961</v>
      </c>
      <c r="F17">
        <v>5834.066</v>
      </c>
      <c r="G17">
        <v>5770.4</v>
      </c>
      <c r="H17">
        <v>5477.545</v>
      </c>
      <c r="I17">
        <v>5854.226</v>
      </c>
      <c r="J17">
        <v>5809.076</v>
      </c>
      <c r="S17">
        <f t="shared" si="10"/>
        <v>16</v>
      </c>
      <c r="U17">
        <f t="shared" si="1"/>
        <v>-1081.05517563823</v>
      </c>
      <c r="V17">
        <f t="shared" si="2"/>
        <v>-352.744969959458</v>
      </c>
      <c r="W17">
        <f t="shared" si="3"/>
        <v>-350.961</v>
      </c>
      <c r="X17">
        <f t="shared" si="4"/>
        <v>24.9340000000002</v>
      </c>
      <c r="Y17">
        <f t="shared" si="5"/>
        <v>88.6000000000004</v>
      </c>
      <c r="Z17">
        <f t="shared" si="6"/>
        <v>381.455</v>
      </c>
      <c r="AA17">
        <f t="shared" si="7"/>
        <v>4.77400000000034</v>
      </c>
      <c r="AB17">
        <f t="shared" si="8"/>
        <v>49.924</v>
      </c>
    </row>
    <row r="18" spans="1:28">
      <c r="A18">
        <f t="shared" si="9"/>
        <v>17</v>
      </c>
      <c r="B18">
        <v>944</v>
      </c>
      <c r="C18">
        <v>71.0871333042905</v>
      </c>
      <c r="D18">
        <v>1287.55077870771</v>
      </c>
      <c r="E18">
        <v>799.793</v>
      </c>
      <c r="F18">
        <v>1015.838</v>
      </c>
      <c r="G18">
        <v>995.25</v>
      </c>
      <c r="H18">
        <v>1040.2</v>
      </c>
      <c r="I18">
        <v>988.332</v>
      </c>
      <c r="J18">
        <v>835.157</v>
      </c>
      <c r="S18">
        <f t="shared" si="10"/>
        <v>17</v>
      </c>
      <c r="U18">
        <f t="shared" si="1"/>
        <v>872.912866695709</v>
      </c>
      <c r="V18">
        <f t="shared" si="2"/>
        <v>-343.550778707707</v>
      </c>
      <c r="W18">
        <f t="shared" si="3"/>
        <v>144.207</v>
      </c>
      <c r="X18">
        <f t="shared" si="4"/>
        <v>-71.838</v>
      </c>
      <c r="Y18">
        <f t="shared" si="5"/>
        <v>-51.25</v>
      </c>
      <c r="Z18">
        <f t="shared" si="6"/>
        <v>-96.2</v>
      </c>
      <c r="AA18">
        <f t="shared" si="7"/>
        <v>-44.332</v>
      </c>
      <c r="AB18">
        <f t="shared" si="8"/>
        <v>108.843</v>
      </c>
    </row>
    <row r="19" spans="1:28">
      <c r="A19">
        <f t="shared" si="9"/>
        <v>18</v>
      </c>
      <c r="B19">
        <v>975</v>
      </c>
      <c r="C19">
        <v>251.014827612324</v>
      </c>
      <c r="D19">
        <v>1497.34910409587</v>
      </c>
      <c r="E19">
        <v>935.93</v>
      </c>
      <c r="F19">
        <v>1025.857</v>
      </c>
      <c r="G19">
        <v>995.25</v>
      </c>
      <c r="H19">
        <v>1040.2</v>
      </c>
      <c r="I19">
        <v>935.48</v>
      </c>
      <c r="J19">
        <v>915.286</v>
      </c>
      <c r="S19">
        <f t="shared" si="10"/>
        <v>18</v>
      </c>
      <c r="U19">
        <f t="shared" si="1"/>
        <v>723.985172387676</v>
      </c>
      <c r="V19">
        <f t="shared" si="2"/>
        <v>-522.349104095873</v>
      </c>
      <c r="W19">
        <f t="shared" si="3"/>
        <v>39.0700000000001</v>
      </c>
      <c r="X19">
        <f t="shared" si="4"/>
        <v>-50.857</v>
      </c>
      <c r="Y19">
        <f t="shared" si="5"/>
        <v>-20.25</v>
      </c>
      <c r="Z19">
        <f t="shared" si="6"/>
        <v>-65.2</v>
      </c>
      <c r="AA19">
        <f t="shared" si="7"/>
        <v>39.52</v>
      </c>
      <c r="AB19">
        <f t="shared" si="8"/>
        <v>59.7140000000001</v>
      </c>
    </row>
    <row r="20" spans="1:28">
      <c r="A20">
        <f t="shared" si="9"/>
        <v>19</v>
      </c>
      <c r="B20">
        <v>987</v>
      </c>
      <c r="C20">
        <v>430.942521920358</v>
      </c>
      <c r="D20">
        <v>1666.62428518582</v>
      </c>
      <c r="E20">
        <v>1072.068</v>
      </c>
      <c r="F20">
        <v>1166.115</v>
      </c>
      <c r="G20">
        <v>995.25</v>
      </c>
      <c r="H20">
        <v>1040.2</v>
      </c>
      <c r="I20">
        <v>933.165</v>
      </c>
      <c r="J20">
        <v>1013.244</v>
      </c>
      <c r="S20">
        <f t="shared" si="10"/>
        <v>19</v>
      </c>
      <c r="U20">
        <f t="shared" si="1"/>
        <v>556.057478079642</v>
      </c>
      <c r="V20">
        <f t="shared" si="2"/>
        <v>-679.624285185816</v>
      </c>
      <c r="W20">
        <f t="shared" si="3"/>
        <v>-85.068</v>
      </c>
      <c r="X20">
        <f t="shared" si="4"/>
        <v>-179.115</v>
      </c>
      <c r="Y20">
        <f t="shared" si="5"/>
        <v>-8.25</v>
      </c>
      <c r="Z20">
        <f t="shared" si="6"/>
        <v>-53.2</v>
      </c>
      <c r="AA20">
        <f t="shared" si="7"/>
        <v>53.835</v>
      </c>
      <c r="AB20">
        <f t="shared" si="8"/>
        <v>-26.244</v>
      </c>
    </row>
    <row r="21" spans="1:28">
      <c r="A21">
        <f t="shared" si="9"/>
        <v>20</v>
      </c>
      <c r="B21">
        <v>1075</v>
      </c>
      <c r="C21">
        <v>790.797910536426</v>
      </c>
      <c r="D21">
        <v>1938.19026135196</v>
      </c>
      <c r="E21">
        <v>1344.343</v>
      </c>
      <c r="F21">
        <v>1178.996</v>
      </c>
      <c r="G21">
        <v>995.25</v>
      </c>
      <c r="H21">
        <v>1040.2</v>
      </c>
      <c r="I21">
        <v>1132.399</v>
      </c>
      <c r="J21">
        <v>1254.963</v>
      </c>
      <c r="S21">
        <f t="shared" si="10"/>
        <v>20</v>
      </c>
      <c r="U21">
        <f t="shared" si="1"/>
        <v>284.202089463574</v>
      </c>
      <c r="V21">
        <f t="shared" si="2"/>
        <v>-863.19026135196</v>
      </c>
      <c r="W21">
        <f t="shared" si="3"/>
        <v>-269.343</v>
      </c>
      <c r="X21">
        <f t="shared" si="4"/>
        <v>-103.996</v>
      </c>
      <c r="Y21">
        <f t="shared" si="5"/>
        <v>79.75</v>
      </c>
      <c r="Z21">
        <f t="shared" si="6"/>
        <v>34.8</v>
      </c>
      <c r="AA21">
        <f t="shared" si="7"/>
        <v>-57.3989999999999</v>
      </c>
      <c r="AB21">
        <f t="shared" si="8"/>
        <v>-179.963</v>
      </c>
    </row>
    <row r="22" spans="1:28">
      <c r="A22">
        <f t="shared" si="9"/>
        <v>21</v>
      </c>
      <c r="B22">
        <v>1220</v>
      </c>
      <c r="C22">
        <v>970.72560484446</v>
      </c>
      <c r="D22">
        <v>2052.67724768879</v>
      </c>
      <c r="E22">
        <v>1480.481</v>
      </c>
      <c r="F22">
        <v>1303.321</v>
      </c>
      <c r="G22">
        <v>1220</v>
      </c>
      <c r="H22">
        <v>1040.2</v>
      </c>
      <c r="I22">
        <v>1331.97</v>
      </c>
      <c r="J22">
        <v>1394.298</v>
      </c>
      <c r="S22">
        <f t="shared" si="10"/>
        <v>21</v>
      </c>
      <c r="U22">
        <f t="shared" si="1"/>
        <v>249.27439515554</v>
      </c>
      <c r="V22">
        <f t="shared" si="2"/>
        <v>-832.677247688794</v>
      </c>
      <c r="W22">
        <f t="shared" si="3"/>
        <v>-260.481</v>
      </c>
      <c r="X22">
        <f t="shared" si="4"/>
        <v>-83.3209999999999</v>
      </c>
      <c r="Y22">
        <f t="shared" si="5"/>
        <v>0</v>
      </c>
      <c r="Z22">
        <f t="shared" si="6"/>
        <v>179.8</v>
      </c>
      <c r="AA22">
        <f t="shared" si="7"/>
        <v>-111.97</v>
      </c>
      <c r="AB22">
        <f t="shared" si="8"/>
        <v>-174.298</v>
      </c>
    </row>
    <row r="23" spans="1:28">
      <c r="A23">
        <f t="shared" si="9"/>
        <v>22</v>
      </c>
      <c r="B23">
        <v>2140</v>
      </c>
      <c r="C23">
        <v>1510.50868776856</v>
      </c>
      <c r="D23">
        <v>2344.1780911551</v>
      </c>
      <c r="E23">
        <v>1888.894</v>
      </c>
      <c r="F23">
        <v>2316.65</v>
      </c>
      <c r="G23">
        <v>2235.333</v>
      </c>
      <c r="H23">
        <v>2218.2</v>
      </c>
      <c r="I23">
        <v>1985.853</v>
      </c>
      <c r="J23">
        <v>1856.846</v>
      </c>
      <c r="S23">
        <f t="shared" si="10"/>
        <v>22</v>
      </c>
      <c r="U23">
        <f t="shared" si="1"/>
        <v>629.491312231439</v>
      </c>
      <c r="V23">
        <f t="shared" si="2"/>
        <v>-204.178091155102</v>
      </c>
      <c r="W23">
        <f t="shared" si="3"/>
        <v>251.106</v>
      </c>
      <c r="X23">
        <f t="shared" si="4"/>
        <v>-176.65</v>
      </c>
      <c r="Y23">
        <f t="shared" si="5"/>
        <v>-95.3330000000001</v>
      </c>
      <c r="Z23">
        <f t="shared" si="6"/>
        <v>-78.1999999999998</v>
      </c>
      <c r="AA23">
        <f t="shared" si="7"/>
        <v>154.147</v>
      </c>
      <c r="AB23">
        <f t="shared" si="8"/>
        <v>283.154</v>
      </c>
    </row>
    <row r="24" spans="1:28">
      <c r="A24">
        <f t="shared" si="9"/>
        <v>23</v>
      </c>
      <c r="B24">
        <v>2156</v>
      </c>
      <c r="C24">
        <v>1690.43638207659</v>
      </c>
      <c r="D24">
        <v>2428.85216553338</v>
      </c>
      <c r="E24">
        <v>2025.032</v>
      </c>
      <c r="F24">
        <v>2288.469</v>
      </c>
      <c r="G24">
        <v>2235.333</v>
      </c>
      <c r="H24">
        <v>2218.2</v>
      </c>
      <c r="I24">
        <v>2116.529</v>
      </c>
      <c r="J24">
        <v>2017.562</v>
      </c>
      <c r="M24">
        <v>120</v>
      </c>
      <c r="N24">
        <v>-4000</v>
      </c>
      <c r="S24">
        <f t="shared" si="10"/>
        <v>23</v>
      </c>
      <c r="U24">
        <f t="shared" si="1"/>
        <v>465.563617923405</v>
      </c>
      <c r="V24">
        <f t="shared" si="2"/>
        <v>-272.852165533378</v>
      </c>
      <c r="W24">
        <f t="shared" si="3"/>
        <v>130.968</v>
      </c>
      <c r="X24">
        <f t="shared" si="4"/>
        <v>-132.469</v>
      </c>
      <c r="Y24">
        <f t="shared" si="5"/>
        <v>-79.3330000000001</v>
      </c>
      <c r="Z24">
        <f t="shared" si="6"/>
        <v>-62.1999999999998</v>
      </c>
      <c r="AA24">
        <f t="shared" si="7"/>
        <v>39.471</v>
      </c>
      <c r="AB24">
        <f t="shared" si="8"/>
        <v>138.438</v>
      </c>
    </row>
    <row r="25" spans="1:28">
      <c r="A25">
        <f t="shared" si="9"/>
        <v>24</v>
      </c>
      <c r="B25">
        <v>2210</v>
      </c>
      <c r="C25">
        <v>1870.36407638463</v>
      </c>
      <c r="D25">
        <v>2508.8214090647</v>
      </c>
      <c r="E25">
        <v>2161.169</v>
      </c>
      <c r="F25">
        <v>2236.127</v>
      </c>
      <c r="G25">
        <v>2235.333</v>
      </c>
      <c r="H25">
        <v>2218.2</v>
      </c>
      <c r="I25">
        <v>2202.47</v>
      </c>
      <c r="J25">
        <v>2177.579</v>
      </c>
      <c r="M25">
        <v>120</v>
      </c>
      <c r="N25">
        <v>14000</v>
      </c>
      <c r="S25">
        <f t="shared" si="10"/>
        <v>24</v>
      </c>
      <c r="U25">
        <f t="shared" si="1"/>
        <v>339.635923615371</v>
      </c>
      <c r="V25">
        <f t="shared" si="2"/>
        <v>-298.821409064702</v>
      </c>
      <c r="W25">
        <f t="shared" si="3"/>
        <v>48.8310000000001</v>
      </c>
      <c r="X25">
        <f t="shared" si="4"/>
        <v>-26.127</v>
      </c>
      <c r="Y25">
        <f t="shared" si="5"/>
        <v>-25.3330000000001</v>
      </c>
      <c r="Z25">
        <f t="shared" si="6"/>
        <v>-8.19999999999982</v>
      </c>
      <c r="AA25">
        <f t="shared" si="7"/>
        <v>7.5300000000002</v>
      </c>
      <c r="AB25">
        <f t="shared" si="8"/>
        <v>32.4209999999998</v>
      </c>
    </row>
    <row r="26" spans="1:28">
      <c r="A26">
        <f t="shared" si="9"/>
        <v>25</v>
      </c>
      <c r="B26">
        <v>2275</v>
      </c>
      <c r="C26">
        <v>2050.29177069266</v>
      </c>
      <c r="D26">
        <v>2584.70905642568</v>
      </c>
      <c r="E26">
        <v>2297.307</v>
      </c>
      <c r="F26">
        <v>2286.191</v>
      </c>
      <c r="G26">
        <v>2235.333</v>
      </c>
      <c r="H26">
        <v>2218.2</v>
      </c>
      <c r="I26">
        <v>2279.573</v>
      </c>
      <c r="J26">
        <v>2334.754</v>
      </c>
      <c r="S26">
        <f t="shared" si="10"/>
        <v>25</v>
      </c>
      <c r="U26">
        <f t="shared" si="1"/>
        <v>224.708229307338</v>
      </c>
      <c r="V26">
        <f t="shared" si="2"/>
        <v>-309.709056425679</v>
      </c>
      <c r="W26">
        <f t="shared" si="3"/>
        <v>-22.3069999999998</v>
      </c>
      <c r="X26">
        <f t="shared" si="4"/>
        <v>-11.1909999999998</v>
      </c>
      <c r="Y26">
        <f t="shared" si="5"/>
        <v>39.6669999999999</v>
      </c>
      <c r="Z26">
        <f t="shared" si="6"/>
        <v>56.8000000000002</v>
      </c>
      <c r="AA26">
        <f t="shared" si="7"/>
        <v>-4.57299999999987</v>
      </c>
      <c r="AB26">
        <f t="shared" si="8"/>
        <v>-59.7539999999999</v>
      </c>
    </row>
    <row r="27" spans="1:28">
      <c r="A27">
        <f t="shared" si="9"/>
        <v>26</v>
      </c>
      <c r="B27">
        <v>2310</v>
      </c>
      <c r="C27">
        <v>2230.2194650007</v>
      </c>
      <c r="D27">
        <v>2657.01501425844</v>
      </c>
      <c r="E27">
        <v>2433.445</v>
      </c>
      <c r="F27">
        <v>2317.106</v>
      </c>
      <c r="G27">
        <v>2235.333</v>
      </c>
      <c r="H27">
        <v>2218.2</v>
      </c>
      <c r="I27">
        <v>2387.259</v>
      </c>
      <c r="J27">
        <v>2487.17</v>
      </c>
      <c r="S27">
        <f t="shared" si="10"/>
        <v>26</v>
      </c>
      <c r="U27">
        <f t="shared" si="1"/>
        <v>79.7805349993041</v>
      </c>
      <c r="V27">
        <f t="shared" si="2"/>
        <v>-347.015014258443</v>
      </c>
      <c r="W27">
        <f t="shared" si="3"/>
        <v>-123.445</v>
      </c>
      <c r="X27">
        <f t="shared" si="4"/>
        <v>-7.10600000000022</v>
      </c>
      <c r="Y27">
        <f t="shared" si="5"/>
        <v>74.6669999999999</v>
      </c>
      <c r="Z27">
        <f t="shared" si="6"/>
        <v>91.8000000000002</v>
      </c>
      <c r="AA27">
        <f t="shared" si="7"/>
        <v>-77.259</v>
      </c>
      <c r="AB27">
        <f t="shared" si="8"/>
        <v>-177.17</v>
      </c>
    </row>
    <row r="28" spans="1:28">
      <c r="A28">
        <f t="shared" si="9"/>
        <v>27</v>
      </c>
      <c r="B28">
        <v>2321</v>
      </c>
      <c r="C28">
        <v>2410.14715930873</v>
      </c>
      <c r="D28">
        <v>2726.14721118436</v>
      </c>
      <c r="E28">
        <v>2569.582</v>
      </c>
      <c r="F28">
        <v>2510.493</v>
      </c>
      <c r="G28">
        <v>2235.333</v>
      </c>
      <c r="H28">
        <v>3040.667</v>
      </c>
      <c r="I28">
        <v>2546.867</v>
      </c>
      <c r="J28">
        <v>2633.175</v>
      </c>
      <c r="S28">
        <f t="shared" si="10"/>
        <v>27</v>
      </c>
      <c r="U28">
        <f t="shared" si="1"/>
        <v>-89.1471593087299</v>
      </c>
      <c r="V28">
        <f t="shared" si="2"/>
        <v>-405.147211184362</v>
      </c>
      <c r="W28">
        <f t="shared" si="3"/>
        <v>-248.582</v>
      </c>
      <c r="X28">
        <f t="shared" si="4"/>
        <v>-189.493</v>
      </c>
      <c r="Y28">
        <f t="shared" si="5"/>
        <v>85.6669999999999</v>
      </c>
      <c r="Z28">
        <f t="shared" si="6"/>
        <v>-719.667</v>
      </c>
      <c r="AA28">
        <f t="shared" si="7"/>
        <v>-225.867</v>
      </c>
      <c r="AB28">
        <f t="shared" si="8"/>
        <v>-312.175</v>
      </c>
    </row>
    <row r="29" spans="1:28">
      <c r="A29">
        <f t="shared" si="9"/>
        <v>28</v>
      </c>
      <c r="B29">
        <v>2776</v>
      </c>
      <c r="C29">
        <v>2590.07485361676</v>
      </c>
      <c r="D29">
        <v>2792.44344295117</v>
      </c>
      <c r="E29">
        <v>2705.72</v>
      </c>
      <c r="F29">
        <v>2806.341</v>
      </c>
      <c r="G29">
        <v>2776</v>
      </c>
      <c r="H29">
        <v>3040.667</v>
      </c>
      <c r="I29">
        <v>2750.059</v>
      </c>
      <c r="J29">
        <v>2771.405</v>
      </c>
      <c r="M29">
        <v>0</v>
      </c>
      <c r="N29">
        <v>14000</v>
      </c>
      <c r="S29">
        <f t="shared" si="10"/>
        <v>28</v>
      </c>
      <c r="U29">
        <f t="shared" si="1"/>
        <v>185.925146383237</v>
      </c>
      <c r="V29">
        <f t="shared" si="2"/>
        <v>-16.4434429511712</v>
      </c>
      <c r="W29">
        <f t="shared" si="3"/>
        <v>70.2800000000002</v>
      </c>
      <c r="X29">
        <f t="shared" si="4"/>
        <v>-30.3409999999999</v>
      </c>
      <c r="Y29">
        <f t="shared" si="5"/>
        <v>0</v>
      </c>
      <c r="Z29">
        <f t="shared" si="6"/>
        <v>-264.667</v>
      </c>
      <c r="AA29">
        <f t="shared" si="7"/>
        <v>25.9409999999998</v>
      </c>
      <c r="AB29">
        <f t="shared" si="8"/>
        <v>4.5949999999998</v>
      </c>
    </row>
    <row r="30" spans="1:28">
      <c r="A30">
        <f t="shared" si="9"/>
        <v>29</v>
      </c>
      <c r="B30">
        <v>3202</v>
      </c>
      <c r="C30">
        <v>2770.0025479248</v>
      </c>
      <c r="D30">
        <v>2856.18700309569</v>
      </c>
      <c r="E30">
        <v>2841.858</v>
      </c>
      <c r="F30">
        <v>3082.045</v>
      </c>
      <c r="G30">
        <v>3286.75</v>
      </c>
      <c r="H30">
        <v>3040.667</v>
      </c>
      <c r="I30">
        <v>2963.694</v>
      </c>
      <c r="J30">
        <v>2900.801</v>
      </c>
      <c r="M30">
        <v>180</v>
      </c>
      <c r="N30">
        <v>14000</v>
      </c>
      <c r="S30">
        <f t="shared" si="10"/>
        <v>29</v>
      </c>
      <c r="U30">
        <f t="shared" si="1"/>
        <v>431.997452075202</v>
      </c>
      <c r="V30">
        <f t="shared" si="2"/>
        <v>345.812996904306</v>
      </c>
      <c r="W30">
        <f t="shared" si="3"/>
        <v>360.142</v>
      </c>
      <c r="X30">
        <f t="shared" si="4"/>
        <v>119.955</v>
      </c>
      <c r="Y30">
        <f t="shared" si="5"/>
        <v>-84.75</v>
      </c>
      <c r="Z30">
        <f t="shared" si="6"/>
        <v>161.333</v>
      </c>
      <c r="AA30">
        <f t="shared" si="7"/>
        <v>238.306</v>
      </c>
      <c r="AB30">
        <f t="shared" si="8"/>
        <v>301.199</v>
      </c>
    </row>
    <row r="31" spans="1:28">
      <c r="A31">
        <f t="shared" si="9"/>
        <v>30</v>
      </c>
      <c r="B31">
        <v>3288</v>
      </c>
      <c r="C31">
        <v>3309.7856308489</v>
      </c>
      <c r="D31">
        <v>3034.33790738792</v>
      </c>
      <c r="E31">
        <v>3250.271</v>
      </c>
      <c r="F31">
        <v>3233.86</v>
      </c>
      <c r="G31">
        <v>3286.75</v>
      </c>
      <c r="H31">
        <v>3040.667</v>
      </c>
      <c r="I31">
        <v>3334.438</v>
      </c>
      <c r="J31">
        <v>3229.991</v>
      </c>
      <c r="S31">
        <f t="shared" si="10"/>
        <v>30</v>
      </c>
      <c r="U31">
        <f t="shared" si="1"/>
        <v>-21.785630848899</v>
      </c>
      <c r="V31">
        <f t="shared" si="2"/>
        <v>253.662092612082</v>
      </c>
      <c r="W31">
        <f t="shared" si="3"/>
        <v>37.7289999999998</v>
      </c>
      <c r="X31">
        <f t="shared" si="4"/>
        <v>54.1399999999999</v>
      </c>
      <c r="Y31">
        <f t="shared" si="5"/>
        <v>1.25</v>
      </c>
      <c r="Z31">
        <f t="shared" si="6"/>
        <v>247.333</v>
      </c>
      <c r="AA31">
        <f t="shared" si="7"/>
        <v>-46.4380000000001</v>
      </c>
      <c r="AB31">
        <f t="shared" si="8"/>
        <v>58.009</v>
      </c>
    </row>
    <row r="32" spans="1:28">
      <c r="A32">
        <f t="shared" si="9"/>
        <v>31</v>
      </c>
      <c r="B32">
        <v>3334</v>
      </c>
      <c r="C32">
        <v>3489.71332515693</v>
      </c>
      <c r="D32">
        <v>3089.95894916261</v>
      </c>
      <c r="E32">
        <v>3386.408</v>
      </c>
      <c r="F32">
        <v>3291.645</v>
      </c>
      <c r="G32">
        <v>3286.75</v>
      </c>
      <c r="H32">
        <v>3040.667</v>
      </c>
      <c r="I32">
        <v>3346.102</v>
      </c>
      <c r="J32">
        <v>3319.506</v>
      </c>
      <c r="S32">
        <f t="shared" si="10"/>
        <v>31</v>
      </c>
      <c r="U32">
        <f t="shared" si="1"/>
        <v>-155.713325156932</v>
      </c>
      <c r="V32">
        <f t="shared" si="2"/>
        <v>244.04105083739</v>
      </c>
      <c r="W32">
        <f t="shared" si="3"/>
        <v>-52.4079999999999</v>
      </c>
      <c r="X32">
        <f t="shared" si="4"/>
        <v>42.355</v>
      </c>
      <c r="Y32">
        <f t="shared" si="5"/>
        <v>47.25</v>
      </c>
      <c r="Z32">
        <f t="shared" si="6"/>
        <v>293.333</v>
      </c>
      <c r="AA32">
        <f t="shared" si="7"/>
        <v>-12.1019999999999</v>
      </c>
      <c r="AB32">
        <f t="shared" si="8"/>
        <v>14.4940000000001</v>
      </c>
    </row>
    <row r="33" spans="1:28">
      <c r="A33">
        <f t="shared" si="9"/>
        <v>32</v>
      </c>
      <c r="B33">
        <v>3323</v>
      </c>
      <c r="C33">
        <v>3669.64101946497</v>
      </c>
      <c r="D33">
        <v>3143.94124965462</v>
      </c>
      <c r="E33">
        <v>3522.546</v>
      </c>
      <c r="F33">
        <v>3343.47</v>
      </c>
      <c r="G33">
        <v>3286.75</v>
      </c>
      <c r="H33">
        <v>3040.667</v>
      </c>
      <c r="I33">
        <v>3332.756</v>
      </c>
      <c r="J33">
        <v>3399.284</v>
      </c>
      <c r="S33">
        <f t="shared" si="10"/>
        <v>32</v>
      </c>
      <c r="U33">
        <f t="shared" si="1"/>
        <v>-346.641019464967</v>
      </c>
      <c r="V33">
        <f t="shared" si="2"/>
        <v>179.058750345377</v>
      </c>
      <c r="W33">
        <f t="shared" si="3"/>
        <v>-199.546</v>
      </c>
      <c r="X33">
        <f t="shared" si="4"/>
        <v>-20.4699999999998</v>
      </c>
      <c r="Y33">
        <f t="shared" si="5"/>
        <v>36.25</v>
      </c>
      <c r="Z33">
        <f t="shared" si="6"/>
        <v>282.333</v>
      </c>
      <c r="AA33">
        <f t="shared" si="7"/>
        <v>-9.75599999999986</v>
      </c>
      <c r="AB33">
        <f t="shared" si="8"/>
        <v>-76.2840000000001</v>
      </c>
    </row>
    <row r="34" spans="1:28">
      <c r="A34">
        <f t="shared" si="9"/>
        <v>33</v>
      </c>
      <c r="B34">
        <v>4205</v>
      </c>
      <c r="C34">
        <v>6238.91673912344</v>
      </c>
      <c r="D34">
        <v>4546.06496479233</v>
      </c>
      <c r="E34">
        <v>5829.252</v>
      </c>
      <c r="F34">
        <v>4508.063</v>
      </c>
      <c r="G34">
        <v>4205</v>
      </c>
      <c r="H34">
        <v>5040.2</v>
      </c>
      <c r="I34">
        <v>4299.03</v>
      </c>
      <c r="J34">
        <v>4615.366</v>
      </c>
      <c r="S34">
        <f t="shared" si="10"/>
        <v>33</v>
      </c>
      <c r="U34">
        <f t="shared" si="1"/>
        <v>-2033.91673912344</v>
      </c>
      <c r="V34">
        <f t="shared" si="2"/>
        <v>-341.064964792326</v>
      </c>
      <c r="W34">
        <f t="shared" si="3"/>
        <v>-1624.252</v>
      </c>
      <c r="X34">
        <f t="shared" si="4"/>
        <v>-303.063</v>
      </c>
      <c r="Y34">
        <f t="shared" si="5"/>
        <v>0</v>
      </c>
      <c r="Z34">
        <f t="shared" si="6"/>
        <v>-835.2</v>
      </c>
      <c r="AA34">
        <f t="shared" si="7"/>
        <v>-94.0299999999997</v>
      </c>
      <c r="AB34">
        <f t="shared" si="8"/>
        <v>-410.366</v>
      </c>
    </row>
    <row r="35" spans="1:28">
      <c r="A35">
        <f t="shared" si="9"/>
        <v>34</v>
      </c>
      <c r="B35">
        <v>5201</v>
      </c>
      <c r="C35">
        <v>6418.84443343147</v>
      </c>
      <c r="D35">
        <v>5286.81774323926</v>
      </c>
      <c r="E35">
        <v>6163.577</v>
      </c>
      <c r="F35">
        <v>5118.38</v>
      </c>
      <c r="G35">
        <v>5201</v>
      </c>
      <c r="H35">
        <v>5040.2</v>
      </c>
      <c r="I35">
        <v>5079.277</v>
      </c>
      <c r="J35">
        <v>5350.172</v>
      </c>
      <c r="S35">
        <f t="shared" si="10"/>
        <v>34</v>
      </c>
      <c r="U35">
        <f t="shared" si="1"/>
        <v>-1217.84443343147</v>
      </c>
      <c r="V35">
        <f t="shared" si="2"/>
        <v>-85.8177432392595</v>
      </c>
      <c r="W35">
        <f t="shared" si="3"/>
        <v>-962.577</v>
      </c>
      <c r="X35">
        <f t="shared" si="4"/>
        <v>82.6199999999999</v>
      </c>
      <c r="Y35">
        <f t="shared" si="5"/>
        <v>0</v>
      </c>
      <c r="Z35">
        <f t="shared" si="6"/>
        <v>160.8</v>
      </c>
      <c r="AA35">
        <f t="shared" si="7"/>
        <v>121.723</v>
      </c>
      <c r="AB35">
        <f t="shared" si="8"/>
        <v>-149.172</v>
      </c>
    </row>
    <row r="36" spans="1:28">
      <c r="A36">
        <f t="shared" si="9"/>
        <v>35</v>
      </c>
      <c r="B36">
        <v>5789</v>
      </c>
      <c r="C36">
        <v>6598.7721277395</v>
      </c>
      <c r="D36">
        <v>5884.49201200421</v>
      </c>
      <c r="E36">
        <v>6497.902</v>
      </c>
      <c r="F36">
        <v>5770.23</v>
      </c>
      <c r="G36">
        <v>5789</v>
      </c>
      <c r="H36">
        <v>5040.2</v>
      </c>
      <c r="I36">
        <v>5941.744</v>
      </c>
      <c r="J36">
        <v>6049.757</v>
      </c>
      <c r="S36">
        <f t="shared" si="10"/>
        <v>35</v>
      </c>
      <c r="U36">
        <f t="shared" si="1"/>
        <v>-809.772127739505</v>
      </c>
      <c r="V36">
        <f t="shared" si="2"/>
        <v>-95.492012004207</v>
      </c>
      <c r="W36">
        <f t="shared" si="3"/>
        <v>-708.902</v>
      </c>
      <c r="X36">
        <f t="shared" si="4"/>
        <v>18.7700000000004</v>
      </c>
      <c r="Y36">
        <f t="shared" si="5"/>
        <v>0</v>
      </c>
      <c r="Z36">
        <f t="shared" si="6"/>
        <v>748.8</v>
      </c>
      <c r="AA36">
        <f t="shared" si="7"/>
        <v>-152.744</v>
      </c>
      <c r="AB36">
        <f t="shared" si="8"/>
        <v>-260.757</v>
      </c>
    </row>
    <row r="37" spans="1:28">
      <c r="A37">
        <f t="shared" si="9"/>
        <v>36</v>
      </c>
      <c r="B37">
        <v>7422</v>
      </c>
      <c r="C37">
        <v>6958.62751635557</v>
      </c>
      <c r="D37">
        <v>6843.33308475602</v>
      </c>
      <c r="E37">
        <v>7166.552</v>
      </c>
      <c r="F37">
        <v>7579.239</v>
      </c>
      <c r="G37">
        <v>7422</v>
      </c>
      <c r="H37">
        <v>7248.667</v>
      </c>
      <c r="I37">
        <v>7612.104</v>
      </c>
      <c r="J37">
        <v>7307.687</v>
      </c>
      <c r="S37">
        <f t="shared" si="10"/>
        <v>36</v>
      </c>
      <c r="U37">
        <f t="shared" si="1"/>
        <v>463.372483644429</v>
      </c>
      <c r="V37">
        <f t="shared" si="2"/>
        <v>578.666915243978</v>
      </c>
      <c r="W37">
        <f t="shared" si="3"/>
        <v>255.448</v>
      </c>
      <c r="X37">
        <f t="shared" si="4"/>
        <v>-157.239</v>
      </c>
      <c r="Y37">
        <f t="shared" si="5"/>
        <v>0</v>
      </c>
      <c r="Z37">
        <f t="shared" si="6"/>
        <v>173.333</v>
      </c>
      <c r="AA37">
        <f t="shared" si="7"/>
        <v>-190.104</v>
      </c>
      <c r="AB37">
        <f t="shared" si="8"/>
        <v>114.313</v>
      </c>
    </row>
    <row r="38" spans="1:28">
      <c r="A38">
        <f t="shared" si="9"/>
        <v>37</v>
      </c>
      <c r="B38">
        <v>8731</v>
      </c>
      <c r="C38">
        <v>7138.55521066361</v>
      </c>
      <c r="D38">
        <v>7247.56201779501</v>
      </c>
      <c r="E38">
        <v>7802.363</v>
      </c>
      <c r="F38">
        <v>8609.083</v>
      </c>
      <c r="G38">
        <v>8808.333</v>
      </c>
      <c r="H38">
        <v>8914.6</v>
      </c>
      <c r="I38">
        <v>8269.718</v>
      </c>
      <c r="J38">
        <v>7852.031</v>
      </c>
      <c r="S38">
        <f t="shared" si="10"/>
        <v>37</v>
      </c>
      <c r="U38">
        <f t="shared" si="1"/>
        <v>1592.44478933639</v>
      </c>
      <c r="V38">
        <f t="shared" si="2"/>
        <v>1483.43798220499</v>
      </c>
      <c r="W38">
        <f t="shared" si="3"/>
        <v>928.637</v>
      </c>
      <c r="X38">
        <f t="shared" si="4"/>
        <v>121.916999999999</v>
      </c>
      <c r="Y38">
        <f t="shared" si="5"/>
        <v>-77.3330000000005</v>
      </c>
      <c r="Z38">
        <f t="shared" si="6"/>
        <v>-183.6</v>
      </c>
      <c r="AA38">
        <f t="shared" si="7"/>
        <v>461.281999999999</v>
      </c>
      <c r="AB38">
        <f t="shared" si="8"/>
        <v>878.969</v>
      </c>
    </row>
    <row r="39" spans="1:28">
      <c r="A39">
        <f t="shared" si="9"/>
        <v>38</v>
      </c>
      <c r="B39">
        <v>8810</v>
      </c>
      <c r="C39">
        <v>7318.48290497164</v>
      </c>
      <c r="D39">
        <v>7616.9712724119</v>
      </c>
      <c r="E39">
        <v>7979.739</v>
      </c>
      <c r="F39">
        <v>8550.115</v>
      </c>
      <c r="G39">
        <v>8808.333</v>
      </c>
      <c r="H39">
        <v>8914.6</v>
      </c>
      <c r="I39">
        <v>8752.305</v>
      </c>
      <c r="J39">
        <v>8333.471</v>
      </c>
      <c r="S39">
        <f t="shared" si="10"/>
        <v>38</v>
      </c>
      <c r="U39">
        <f t="shared" si="1"/>
        <v>1491.51709502836</v>
      </c>
      <c r="V39">
        <f t="shared" si="2"/>
        <v>1193.0287275881</v>
      </c>
      <c r="W39">
        <f t="shared" si="3"/>
        <v>830.261</v>
      </c>
      <c r="X39">
        <f t="shared" si="4"/>
        <v>259.885</v>
      </c>
      <c r="Y39">
        <f t="shared" si="5"/>
        <v>1.66699999999946</v>
      </c>
      <c r="Z39">
        <f t="shared" si="6"/>
        <v>-104.6</v>
      </c>
      <c r="AA39">
        <f t="shared" si="7"/>
        <v>57.6949999999997</v>
      </c>
      <c r="AB39">
        <f t="shared" si="8"/>
        <v>476.529</v>
      </c>
    </row>
    <row r="40" spans="1:28">
      <c r="A40">
        <f t="shared" si="9"/>
        <v>39</v>
      </c>
      <c r="B40">
        <v>8884</v>
      </c>
      <c r="C40">
        <v>7678.33829358771</v>
      </c>
      <c r="D40">
        <v>8276.78882081063</v>
      </c>
      <c r="E40">
        <v>8334.491</v>
      </c>
      <c r="F40">
        <v>8781.4</v>
      </c>
      <c r="G40">
        <v>8808.333</v>
      </c>
      <c r="H40">
        <v>8914.6</v>
      </c>
      <c r="I40">
        <v>9258.843</v>
      </c>
      <c r="J40">
        <v>9099.06</v>
      </c>
      <c r="S40">
        <f t="shared" si="10"/>
        <v>39</v>
      </c>
      <c r="U40">
        <f t="shared" si="1"/>
        <v>1205.66170641229</v>
      </c>
      <c r="V40">
        <f t="shared" si="2"/>
        <v>607.211179189375</v>
      </c>
      <c r="W40">
        <f t="shared" si="3"/>
        <v>549.509</v>
      </c>
      <c r="X40">
        <f t="shared" si="4"/>
        <v>102.6</v>
      </c>
      <c r="Y40">
        <f t="shared" si="5"/>
        <v>75.6669999999995</v>
      </c>
      <c r="Z40">
        <f t="shared" si="6"/>
        <v>-30.6000000000004</v>
      </c>
      <c r="AA40">
        <f t="shared" si="7"/>
        <v>-374.843000000001</v>
      </c>
      <c r="AB40">
        <f t="shared" si="8"/>
        <v>-215.059999999999</v>
      </c>
    </row>
    <row r="41" spans="1:28">
      <c r="A41">
        <f t="shared" si="9"/>
        <v>40</v>
      </c>
      <c r="B41">
        <v>9510</v>
      </c>
      <c r="C41">
        <v>7858.26598789574</v>
      </c>
      <c r="D41">
        <v>8575.75477176415</v>
      </c>
      <c r="E41">
        <v>8622.016</v>
      </c>
      <c r="F41">
        <v>9156.468</v>
      </c>
      <c r="G41">
        <v>9631</v>
      </c>
      <c r="H41">
        <v>9853.824</v>
      </c>
      <c r="I41">
        <v>9374.747</v>
      </c>
      <c r="J41">
        <v>9383.402</v>
      </c>
      <c r="S41">
        <f t="shared" si="10"/>
        <v>40</v>
      </c>
      <c r="U41">
        <f t="shared" si="1"/>
        <v>1651.73401210426</v>
      </c>
      <c r="V41">
        <f t="shared" si="2"/>
        <v>934.24522823585</v>
      </c>
      <c r="W41">
        <f t="shared" si="3"/>
        <v>887.984</v>
      </c>
      <c r="X41">
        <f t="shared" si="4"/>
        <v>353.531999999999</v>
      </c>
      <c r="Y41">
        <f t="shared" si="5"/>
        <v>-121</v>
      </c>
      <c r="Z41">
        <f t="shared" si="6"/>
        <v>-343.824000000001</v>
      </c>
      <c r="AA41">
        <f t="shared" si="7"/>
        <v>135.253000000001</v>
      </c>
      <c r="AB41">
        <f t="shared" si="8"/>
        <v>126.598</v>
      </c>
    </row>
    <row r="42" spans="1:28">
      <c r="A42">
        <f t="shared" si="9"/>
        <v>41</v>
      </c>
      <c r="B42">
        <v>9584</v>
      </c>
      <c r="C42">
        <v>8218.12137651181</v>
      </c>
      <c r="D42">
        <v>9126.05194289249</v>
      </c>
      <c r="E42">
        <v>8963.78</v>
      </c>
      <c r="F42">
        <v>9522.256</v>
      </c>
      <c r="G42">
        <v>9631</v>
      </c>
      <c r="H42">
        <v>9853.824</v>
      </c>
      <c r="I42">
        <v>9526.206</v>
      </c>
      <c r="J42">
        <v>9767.938</v>
      </c>
      <c r="S42">
        <f t="shared" si="10"/>
        <v>41</v>
      </c>
      <c r="U42">
        <f t="shared" si="1"/>
        <v>1365.87862348819</v>
      </c>
      <c r="V42">
        <f t="shared" si="2"/>
        <v>457.948057107506</v>
      </c>
      <c r="W42">
        <f t="shared" si="3"/>
        <v>620.219999999999</v>
      </c>
      <c r="X42">
        <f t="shared" si="4"/>
        <v>61.7440000000006</v>
      </c>
      <c r="Y42">
        <f t="shared" si="5"/>
        <v>-47</v>
      </c>
      <c r="Z42">
        <f t="shared" si="6"/>
        <v>-269.824000000001</v>
      </c>
      <c r="AA42">
        <f t="shared" si="7"/>
        <v>57.7939999999999</v>
      </c>
      <c r="AB42">
        <f t="shared" si="8"/>
        <v>-183.938</v>
      </c>
    </row>
    <row r="43" spans="1:28">
      <c r="A43">
        <f t="shared" si="9"/>
        <v>42</v>
      </c>
      <c r="B43">
        <v>9675</v>
      </c>
      <c r="C43">
        <v>8577.97676512788</v>
      </c>
      <c r="D43">
        <v>9625.43965688905</v>
      </c>
      <c r="E43">
        <v>9305.545</v>
      </c>
      <c r="F43">
        <v>9582.275</v>
      </c>
      <c r="G43">
        <v>9631</v>
      </c>
      <c r="H43">
        <v>9853.824</v>
      </c>
      <c r="I43">
        <v>9644.551</v>
      </c>
      <c r="J43">
        <v>9939.44</v>
      </c>
      <c r="S43">
        <f t="shared" si="10"/>
        <v>42</v>
      </c>
      <c r="U43">
        <f t="shared" si="1"/>
        <v>1097.02323487212</v>
      </c>
      <c r="V43">
        <f t="shared" si="2"/>
        <v>49.5603431109503</v>
      </c>
      <c r="W43">
        <f t="shared" si="3"/>
        <v>369.455</v>
      </c>
      <c r="X43">
        <f t="shared" si="4"/>
        <v>92.7250000000004</v>
      </c>
      <c r="Y43">
        <f t="shared" si="5"/>
        <v>44</v>
      </c>
      <c r="Z43">
        <f t="shared" si="6"/>
        <v>-178.824000000001</v>
      </c>
      <c r="AA43">
        <f t="shared" si="7"/>
        <v>30.4490000000005</v>
      </c>
      <c r="AB43">
        <f t="shared" si="8"/>
        <v>-264.440000000001</v>
      </c>
    </row>
    <row r="44" spans="1:28">
      <c r="A44">
        <f t="shared" si="9"/>
        <v>43</v>
      </c>
      <c r="B44">
        <v>9688</v>
      </c>
      <c r="C44">
        <v>8757.90445943591</v>
      </c>
      <c r="D44">
        <v>9859.51739698047</v>
      </c>
      <c r="E44">
        <v>9476.427</v>
      </c>
      <c r="F44">
        <v>9637.789</v>
      </c>
      <c r="G44">
        <v>9631</v>
      </c>
      <c r="H44">
        <v>9853.824</v>
      </c>
      <c r="I44">
        <v>9694.152</v>
      </c>
      <c r="J44">
        <v>9960.939</v>
      </c>
      <c r="S44">
        <f t="shared" si="10"/>
        <v>43</v>
      </c>
      <c r="U44">
        <f t="shared" si="1"/>
        <v>930.095540564091</v>
      </c>
      <c r="V44">
        <f t="shared" si="2"/>
        <v>-171.517396980467</v>
      </c>
      <c r="W44">
        <f t="shared" si="3"/>
        <v>211.573</v>
      </c>
      <c r="X44">
        <f t="shared" si="4"/>
        <v>50.2109999999993</v>
      </c>
      <c r="Y44">
        <f t="shared" si="5"/>
        <v>57</v>
      </c>
      <c r="Z44">
        <f t="shared" si="6"/>
        <v>-165.824000000001</v>
      </c>
      <c r="AA44">
        <f t="shared" si="7"/>
        <v>-6.15200000000004</v>
      </c>
      <c r="AB44">
        <f t="shared" si="8"/>
        <v>-272.939</v>
      </c>
    </row>
    <row r="45" spans="1:28">
      <c r="A45">
        <f t="shared" si="9"/>
        <v>44</v>
      </c>
      <c r="B45">
        <v>9698</v>
      </c>
      <c r="C45">
        <v>8937.83215374394</v>
      </c>
      <c r="D45">
        <v>10084.5822024206</v>
      </c>
      <c r="E45">
        <v>9647.31</v>
      </c>
      <c r="F45">
        <v>9674.157</v>
      </c>
      <c r="G45">
        <v>9631</v>
      </c>
      <c r="H45">
        <v>9853.824</v>
      </c>
      <c r="I45">
        <v>9740.924</v>
      </c>
      <c r="J45">
        <v>9948.974</v>
      </c>
      <c r="S45">
        <f t="shared" si="10"/>
        <v>44</v>
      </c>
      <c r="U45">
        <f t="shared" si="1"/>
        <v>760.167846256056</v>
      </c>
      <c r="V45">
        <f t="shared" si="2"/>
        <v>-386.582202420603</v>
      </c>
      <c r="W45">
        <f t="shared" si="3"/>
        <v>50.6900000000005</v>
      </c>
      <c r="X45">
        <f t="shared" si="4"/>
        <v>23.8430000000008</v>
      </c>
      <c r="Y45">
        <f t="shared" si="5"/>
        <v>67</v>
      </c>
      <c r="Z45">
        <f t="shared" si="6"/>
        <v>-155.824000000001</v>
      </c>
      <c r="AA45">
        <f t="shared" si="7"/>
        <v>-42.9240000000009</v>
      </c>
      <c r="AB45">
        <f t="shared" si="8"/>
        <v>-250.974</v>
      </c>
    </row>
    <row r="46" spans="1:28">
      <c r="A46">
        <f t="shared" si="9"/>
        <v>45</v>
      </c>
      <c r="B46">
        <v>9841</v>
      </c>
      <c r="C46">
        <v>9297.68754236001</v>
      </c>
      <c r="D46">
        <v>10510.9439972029</v>
      </c>
      <c r="E46">
        <v>9989.074</v>
      </c>
      <c r="F46">
        <v>9768.656</v>
      </c>
      <c r="G46">
        <v>9849.5</v>
      </c>
      <c r="H46">
        <v>9853.824</v>
      </c>
      <c r="I46">
        <v>9829.015</v>
      </c>
      <c r="J46">
        <v>9853.047</v>
      </c>
      <c r="S46">
        <f t="shared" si="10"/>
        <v>45</v>
      </c>
      <c r="U46">
        <f t="shared" si="1"/>
        <v>543.312457639988</v>
      </c>
      <c r="V46">
        <f t="shared" si="2"/>
        <v>-669.94399720291</v>
      </c>
      <c r="W46">
        <f t="shared" si="3"/>
        <v>-148.074000000001</v>
      </c>
      <c r="X46">
        <f t="shared" si="4"/>
        <v>72.3439999999991</v>
      </c>
      <c r="Y46">
        <f t="shared" si="5"/>
        <v>-8.5</v>
      </c>
      <c r="Z46">
        <f t="shared" si="6"/>
        <v>-12.8240000000005</v>
      </c>
      <c r="AA46">
        <f t="shared" si="7"/>
        <v>11.9850000000006</v>
      </c>
      <c r="AB46">
        <f t="shared" si="8"/>
        <v>-12.0470000000005</v>
      </c>
    </row>
    <row r="47" spans="1:28">
      <c r="A47">
        <f t="shared" si="9"/>
        <v>46</v>
      </c>
      <c r="B47">
        <v>9846</v>
      </c>
      <c r="C47">
        <v>9477.61523666805</v>
      </c>
      <c r="D47">
        <v>10713.5947414537</v>
      </c>
      <c r="E47">
        <v>10159.956</v>
      </c>
      <c r="F47">
        <v>9770.109</v>
      </c>
      <c r="G47">
        <v>9849.5</v>
      </c>
      <c r="H47">
        <v>9853.824</v>
      </c>
      <c r="I47">
        <v>9856.814</v>
      </c>
      <c r="J47">
        <v>9782.457</v>
      </c>
      <c r="S47">
        <f t="shared" si="10"/>
        <v>46</v>
      </c>
      <c r="U47">
        <f t="shared" si="1"/>
        <v>368.384763331955</v>
      </c>
      <c r="V47">
        <f t="shared" si="2"/>
        <v>-867.594741453682</v>
      </c>
      <c r="W47">
        <f t="shared" si="3"/>
        <v>-313.956</v>
      </c>
      <c r="X47">
        <f t="shared" si="4"/>
        <v>75.8909999999996</v>
      </c>
      <c r="Y47">
        <f t="shared" si="5"/>
        <v>-3.5</v>
      </c>
      <c r="Z47">
        <f t="shared" si="6"/>
        <v>-7.82400000000052</v>
      </c>
      <c r="AA47">
        <f t="shared" si="7"/>
        <v>-10.8140000000003</v>
      </c>
      <c r="AB47">
        <f t="shared" si="8"/>
        <v>63.5429999999997</v>
      </c>
    </row>
    <row r="48" spans="1:28">
      <c r="A48">
        <f t="shared" si="9"/>
        <v>47</v>
      </c>
      <c r="B48">
        <v>9852</v>
      </c>
      <c r="C48">
        <v>9657.54293097608</v>
      </c>
      <c r="D48">
        <v>10909.9806809434</v>
      </c>
      <c r="E48">
        <v>10330.839</v>
      </c>
      <c r="F48">
        <v>9745.25</v>
      </c>
      <c r="G48">
        <v>9849.5</v>
      </c>
      <c r="H48">
        <v>9853.824</v>
      </c>
      <c r="I48">
        <v>9855.157</v>
      </c>
      <c r="J48">
        <v>9704.691</v>
      </c>
      <c r="S48">
        <f t="shared" si="10"/>
        <v>47</v>
      </c>
      <c r="U48">
        <f t="shared" si="1"/>
        <v>194.457069023922</v>
      </c>
      <c r="V48">
        <f t="shared" si="2"/>
        <v>-1057.98068094336</v>
      </c>
      <c r="W48">
        <f t="shared" si="3"/>
        <v>-478.839</v>
      </c>
      <c r="X48">
        <f t="shared" si="4"/>
        <v>106.75</v>
      </c>
      <c r="Y48">
        <f t="shared" si="5"/>
        <v>2.5</v>
      </c>
      <c r="Z48">
        <f t="shared" si="6"/>
        <v>-1.82400000000052</v>
      </c>
      <c r="AA48">
        <f t="shared" si="7"/>
        <v>-3.15699999999924</v>
      </c>
      <c r="AB48">
        <f t="shared" si="8"/>
        <v>147.308999999999</v>
      </c>
    </row>
    <row r="49" spans="1:28">
      <c r="A49">
        <f t="shared" si="9"/>
        <v>48</v>
      </c>
      <c r="B49">
        <v>9859</v>
      </c>
      <c r="C49">
        <v>9837.47062528411</v>
      </c>
      <c r="D49">
        <v>11100.5805773078</v>
      </c>
      <c r="E49">
        <v>10501.721</v>
      </c>
      <c r="F49">
        <v>9756.678</v>
      </c>
      <c r="G49">
        <v>9849.5</v>
      </c>
      <c r="H49">
        <v>9853.824</v>
      </c>
      <c r="I49">
        <v>9808.521</v>
      </c>
      <c r="J49">
        <v>9624.656</v>
      </c>
      <c r="S49">
        <f t="shared" si="10"/>
        <v>48</v>
      </c>
      <c r="U49">
        <f t="shared" si="1"/>
        <v>21.5293747158867</v>
      </c>
      <c r="V49">
        <f t="shared" si="2"/>
        <v>-1241.58057730779</v>
      </c>
      <c r="W49">
        <f t="shared" si="3"/>
        <v>-642.721</v>
      </c>
      <c r="X49">
        <f t="shared" si="4"/>
        <v>102.322</v>
      </c>
      <c r="Y49">
        <f t="shared" si="5"/>
        <v>9.5</v>
      </c>
      <c r="Z49">
        <f t="shared" si="6"/>
        <v>5.17599999999948</v>
      </c>
      <c r="AA49">
        <f t="shared" si="7"/>
        <v>50.4789999999994</v>
      </c>
      <c r="AB49">
        <f t="shared" si="8"/>
        <v>234.343999999999</v>
      </c>
    </row>
    <row r="50" spans="1:28">
      <c r="A50">
        <f t="shared" si="9"/>
        <v>49</v>
      </c>
      <c r="B50">
        <v>975</v>
      </c>
      <c r="C50">
        <v>3148.4302772582</v>
      </c>
      <c r="D50">
        <v>2675.80920703581</v>
      </c>
      <c r="E50">
        <v>1711.714</v>
      </c>
      <c r="F50">
        <v>1225.172</v>
      </c>
      <c r="G50">
        <v>1007.5</v>
      </c>
      <c r="H50">
        <v>1206.833</v>
      </c>
      <c r="I50">
        <v>955.346</v>
      </c>
      <c r="J50">
        <v>764.091</v>
      </c>
      <c r="S50">
        <f t="shared" si="10"/>
        <v>49</v>
      </c>
      <c r="U50">
        <f t="shared" si="1"/>
        <v>-2173.4302772582</v>
      </c>
      <c r="V50">
        <f t="shared" si="2"/>
        <v>-1700.80920703581</v>
      </c>
      <c r="W50">
        <f t="shared" si="3"/>
        <v>-736.714</v>
      </c>
      <c r="X50">
        <f t="shared" si="4"/>
        <v>-250.172</v>
      </c>
      <c r="Y50">
        <f t="shared" si="5"/>
        <v>-32.5</v>
      </c>
      <c r="Z50">
        <f t="shared" si="6"/>
        <v>-231.833</v>
      </c>
      <c r="AA50">
        <f t="shared" si="7"/>
        <v>19.654</v>
      </c>
      <c r="AB50">
        <f t="shared" si="8"/>
        <v>210.909</v>
      </c>
    </row>
    <row r="51" spans="1:28">
      <c r="A51">
        <f t="shared" si="9"/>
        <v>50</v>
      </c>
      <c r="B51">
        <v>1040</v>
      </c>
      <c r="C51">
        <v>3328.35797156624</v>
      </c>
      <c r="D51">
        <v>2978.30919641311</v>
      </c>
      <c r="E51">
        <v>1965.511</v>
      </c>
      <c r="F51">
        <v>1237.902</v>
      </c>
      <c r="G51">
        <v>1007.5</v>
      </c>
      <c r="H51">
        <v>1206.833</v>
      </c>
      <c r="I51">
        <v>1081.292</v>
      </c>
      <c r="J51">
        <v>1172.295</v>
      </c>
      <c r="S51">
        <f t="shared" si="10"/>
        <v>50</v>
      </c>
      <c r="U51">
        <f t="shared" si="1"/>
        <v>-2288.35797156624</v>
      </c>
      <c r="V51">
        <f t="shared" si="2"/>
        <v>-1938.30919641311</v>
      </c>
      <c r="W51">
        <f t="shared" si="3"/>
        <v>-925.511</v>
      </c>
      <c r="X51">
        <f t="shared" si="4"/>
        <v>-197.902</v>
      </c>
      <c r="Y51">
        <f t="shared" si="5"/>
        <v>32.5</v>
      </c>
      <c r="Z51">
        <f t="shared" si="6"/>
        <v>-166.833</v>
      </c>
      <c r="AA51">
        <f t="shared" si="7"/>
        <v>-41.2919999999999</v>
      </c>
      <c r="AB51">
        <f t="shared" si="8"/>
        <v>-132.295</v>
      </c>
    </row>
    <row r="52" spans="1:28">
      <c r="A52">
        <f t="shared" si="9"/>
        <v>51</v>
      </c>
      <c r="B52">
        <v>2220</v>
      </c>
      <c r="C52">
        <v>3868.14105449034</v>
      </c>
      <c r="D52">
        <v>3668.1977926284</v>
      </c>
      <c r="E52">
        <v>2816.62</v>
      </c>
      <c r="F52">
        <v>2576.755</v>
      </c>
      <c r="G52">
        <v>2220</v>
      </c>
      <c r="H52">
        <v>2814.5</v>
      </c>
      <c r="I52">
        <v>2208.944</v>
      </c>
      <c r="J52">
        <v>2485.26</v>
      </c>
      <c r="S52">
        <f t="shared" si="10"/>
        <v>51</v>
      </c>
      <c r="U52">
        <f t="shared" si="1"/>
        <v>-1648.14105449034</v>
      </c>
      <c r="V52">
        <f t="shared" si="2"/>
        <v>-1448.1977926284</v>
      </c>
      <c r="W52">
        <f t="shared" si="3"/>
        <v>-596.62</v>
      </c>
      <c r="X52">
        <f t="shared" si="4"/>
        <v>-356.755</v>
      </c>
      <c r="Y52">
        <f t="shared" si="5"/>
        <v>0</v>
      </c>
      <c r="Z52">
        <f t="shared" si="6"/>
        <v>-594.5</v>
      </c>
      <c r="AA52">
        <f t="shared" si="7"/>
        <v>11.056</v>
      </c>
      <c r="AB52">
        <f t="shared" si="8"/>
        <v>-265.26</v>
      </c>
    </row>
    <row r="53" spans="1:28">
      <c r="A53">
        <f t="shared" si="9"/>
        <v>52</v>
      </c>
      <c r="B53">
        <v>2678</v>
      </c>
      <c r="C53">
        <v>4048.06874879837</v>
      </c>
      <c r="D53">
        <v>3855.16634964592</v>
      </c>
      <c r="E53">
        <v>3101.279</v>
      </c>
      <c r="F53">
        <v>2863.782</v>
      </c>
      <c r="G53">
        <v>2678</v>
      </c>
      <c r="H53">
        <v>2814.5</v>
      </c>
      <c r="I53">
        <v>2779.456</v>
      </c>
      <c r="J53">
        <v>2930.72</v>
      </c>
      <c r="S53">
        <f t="shared" si="10"/>
        <v>52</v>
      </c>
      <c r="U53">
        <f t="shared" si="1"/>
        <v>-1370.06874879837</v>
      </c>
      <c r="V53">
        <f t="shared" si="2"/>
        <v>-1177.16634964592</v>
      </c>
      <c r="W53">
        <f t="shared" si="3"/>
        <v>-423.279</v>
      </c>
      <c r="X53">
        <f t="shared" si="4"/>
        <v>-185.782</v>
      </c>
      <c r="Y53">
        <f t="shared" si="5"/>
        <v>0</v>
      </c>
      <c r="Z53">
        <f t="shared" si="6"/>
        <v>-136.5</v>
      </c>
      <c r="AA53">
        <f t="shared" si="7"/>
        <v>-101.456</v>
      </c>
      <c r="AB53">
        <f t="shared" si="8"/>
        <v>-252.72</v>
      </c>
    </row>
    <row r="54" spans="1:28">
      <c r="A54">
        <f t="shared" si="9"/>
        <v>53</v>
      </c>
      <c r="B54">
        <v>3145</v>
      </c>
      <c r="C54">
        <v>4227.99644310641</v>
      </c>
      <c r="D54">
        <v>4027.97888213624</v>
      </c>
      <c r="E54">
        <v>3385.939</v>
      </c>
      <c r="F54">
        <v>3428.291</v>
      </c>
      <c r="G54">
        <v>3145</v>
      </c>
      <c r="H54">
        <v>2814.5</v>
      </c>
      <c r="I54">
        <v>3368.947</v>
      </c>
      <c r="J54">
        <v>3369.292</v>
      </c>
      <c r="S54">
        <f t="shared" si="10"/>
        <v>53</v>
      </c>
      <c r="U54">
        <f t="shared" si="1"/>
        <v>-1082.99644310641</v>
      </c>
      <c r="V54">
        <f t="shared" si="2"/>
        <v>-882.978882136237</v>
      </c>
      <c r="W54">
        <f t="shared" si="3"/>
        <v>-240.939</v>
      </c>
      <c r="X54">
        <f t="shared" si="4"/>
        <v>-283.291</v>
      </c>
      <c r="Y54">
        <f t="shared" si="5"/>
        <v>0</v>
      </c>
      <c r="Z54">
        <f t="shared" si="6"/>
        <v>330.5</v>
      </c>
      <c r="AA54">
        <f t="shared" si="7"/>
        <v>-223.947</v>
      </c>
      <c r="AB54">
        <f t="shared" si="8"/>
        <v>-224.292</v>
      </c>
    </row>
    <row r="55" spans="1:28">
      <c r="A55">
        <f t="shared" si="9"/>
        <v>54</v>
      </c>
      <c r="B55">
        <v>4340</v>
      </c>
      <c r="C55">
        <v>4407.92413741444</v>
      </c>
      <c r="D55">
        <v>4189.11882478598</v>
      </c>
      <c r="E55">
        <v>3951.804</v>
      </c>
      <c r="F55">
        <v>4311.843</v>
      </c>
      <c r="G55">
        <v>4348</v>
      </c>
      <c r="H55">
        <v>4498</v>
      </c>
      <c r="I55">
        <v>3918.753</v>
      </c>
      <c r="J55">
        <v>3794.851</v>
      </c>
      <c r="S55">
        <f t="shared" si="10"/>
        <v>54</v>
      </c>
      <c r="U55">
        <f t="shared" si="1"/>
        <v>-67.9241374144403</v>
      </c>
      <c r="V55">
        <f t="shared" si="2"/>
        <v>150.881175214023</v>
      </c>
      <c r="W55">
        <f t="shared" si="3"/>
        <v>388.196</v>
      </c>
      <c r="X55">
        <f t="shared" si="4"/>
        <v>28.1570000000002</v>
      </c>
      <c r="Y55">
        <f t="shared" si="5"/>
        <v>-8</v>
      </c>
      <c r="Z55">
        <f t="shared" si="6"/>
        <v>-158</v>
      </c>
      <c r="AA55">
        <f t="shared" si="7"/>
        <v>421.247</v>
      </c>
      <c r="AB55">
        <f t="shared" si="8"/>
        <v>545.149</v>
      </c>
    </row>
    <row r="56" spans="1:28">
      <c r="A56">
        <f t="shared" si="9"/>
        <v>55</v>
      </c>
      <c r="B56">
        <v>4356</v>
      </c>
      <c r="C56">
        <v>4587.85183172247</v>
      </c>
      <c r="D56">
        <v>4340.43401721429</v>
      </c>
      <c r="E56">
        <v>4195.786</v>
      </c>
      <c r="F56">
        <v>4440.858</v>
      </c>
      <c r="G56">
        <v>4348</v>
      </c>
      <c r="H56">
        <v>4498</v>
      </c>
      <c r="I56">
        <v>4386.694</v>
      </c>
      <c r="J56">
        <v>4201.714</v>
      </c>
      <c r="S56">
        <f t="shared" si="10"/>
        <v>55</v>
      </c>
      <c r="U56">
        <f t="shared" si="1"/>
        <v>-231.851831722473</v>
      </c>
      <c r="V56">
        <f t="shared" si="2"/>
        <v>15.5659827857125</v>
      </c>
      <c r="W56">
        <f t="shared" si="3"/>
        <v>160.214</v>
      </c>
      <c r="X56">
        <f t="shared" si="4"/>
        <v>-84.8580000000002</v>
      </c>
      <c r="Y56">
        <f t="shared" si="5"/>
        <v>8</v>
      </c>
      <c r="Z56">
        <f t="shared" si="6"/>
        <v>-142</v>
      </c>
      <c r="AA56">
        <f t="shared" si="7"/>
        <v>-30.6940000000004</v>
      </c>
      <c r="AB56">
        <f t="shared" si="8"/>
        <v>154.286</v>
      </c>
    </row>
    <row r="57" spans="1:28">
      <c r="A57">
        <f t="shared" si="9"/>
        <v>56</v>
      </c>
      <c r="B57">
        <v>5310</v>
      </c>
      <c r="C57">
        <v>5127.63491464658</v>
      </c>
      <c r="D57">
        <v>4748.16809182122</v>
      </c>
      <c r="E57">
        <v>4927.731</v>
      </c>
      <c r="F57">
        <v>5350.588</v>
      </c>
      <c r="G57">
        <v>5315.5</v>
      </c>
      <c r="H57">
        <v>5417.333</v>
      </c>
      <c r="I57">
        <v>5316.399</v>
      </c>
      <c r="J57">
        <v>5262.366</v>
      </c>
      <c r="S57">
        <f t="shared" si="10"/>
        <v>56</v>
      </c>
      <c r="U57">
        <f t="shared" si="1"/>
        <v>182.365085353424</v>
      </c>
      <c r="V57">
        <f t="shared" si="2"/>
        <v>561.83190817878</v>
      </c>
      <c r="W57">
        <f t="shared" si="3"/>
        <v>382.269</v>
      </c>
      <c r="X57">
        <f t="shared" si="4"/>
        <v>-40.5879999999997</v>
      </c>
      <c r="Y57">
        <f t="shared" si="5"/>
        <v>-5.5</v>
      </c>
      <c r="Z57">
        <f t="shared" si="6"/>
        <v>-107.333</v>
      </c>
      <c r="AA57">
        <f t="shared" si="7"/>
        <v>-6.39900000000034</v>
      </c>
      <c r="AB57">
        <f t="shared" si="8"/>
        <v>47.634</v>
      </c>
    </row>
    <row r="58" spans="1:28">
      <c r="A58">
        <f t="shared" si="9"/>
        <v>57</v>
      </c>
      <c r="B58">
        <v>5321</v>
      </c>
      <c r="C58">
        <v>5307.56260895461</v>
      </c>
      <c r="D58">
        <v>4871.70946806473</v>
      </c>
      <c r="E58">
        <v>5171.713</v>
      </c>
      <c r="F58">
        <v>5521.829</v>
      </c>
      <c r="G58">
        <v>5315.5</v>
      </c>
      <c r="H58">
        <v>5417.333</v>
      </c>
      <c r="I58">
        <v>5561.608</v>
      </c>
      <c r="J58">
        <v>5550.353</v>
      </c>
      <c r="S58">
        <f t="shared" si="10"/>
        <v>57</v>
      </c>
      <c r="U58">
        <f t="shared" si="1"/>
        <v>13.4373910453905</v>
      </c>
      <c r="V58">
        <f t="shared" si="2"/>
        <v>449.290531935275</v>
      </c>
      <c r="W58">
        <f t="shared" si="3"/>
        <v>149.287</v>
      </c>
      <c r="X58">
        <f t="shared" si="4"/>
        <v>-200.829</v>
      </c>
      <c r="Y58">
        <f t="shared" si="5"/>
        <v>5.5</v>
      </c>
      <c r="Z58">
        <f t="shared" si="6"/>
        <v>-96.3329999999996</v>
      </c>
      <c r="AA58">
        <f t="shared" si="7"/>
        <v>-240.608</v>
      </c>
      <c r="AB58">
        <f t="shared" si="8"/>
        <v>-229.353</v>
      </c>
    </row>
    <row r="59" spans="1:28">
      <c r="A59">
        <f t="shared" si="9"/>
        <v>58</v>
      </c>
      <c r="B59">
        <v>6265</v>
      </c>
      <c r="C59">
        <v>5667.41799757068</v>
      </c>
      <c r="D59">
        <v>5104.09460224989</v>
      </c>
      <c r="E59">
        <v>5659.677</v>
      </c>
      <c r="F59">
        <v>6306.997</v>
      </c>
      <c r="G59">
        <v>6379.8</v>
      </c>
      <c r="H59">
        <v>6456.8</v>
      </c>
      <c r="I59">
        <v>6033.453</v>
      </c>
      <c r="J59">
        <v>6014.52</v>
      </c>
      <c r="S59">
        <f t="shared" si="10"/>
        <v>58</v>
      </c>
      <c r="U59">
        <f t="shared" si="1"/>
        <v>597.582002429323</v>
      </c>
      <c r="V59">
        <f t="shared" si="2"/>
        <v>1160.90539775011</v>
      </c>
      <c r="W59">
        <f t="shared" si="3"/>
        <v>605.323</v>
      </c>
      <c r="X59">
        <f t="shared" si="4"/>
        <v>-41.9970000000003</v>
      </c>
      <c r="Y59">
        <f t="shared" si="5"/>
        <v>-114.8</v>
      </c>
      <c r="Z59">
        <f t="shared" si="6"/>
        <v>-191.8</v>
      </c>
      <c r="AA59">
        <f t="shared" si="7"/>
        <v>231.547</v>
      </c>
      <c r="AB59">
        <f t="shared" si="8"/>
        <v>250.48</v>
      </c>
    </row>
    <row r="60" spans="1:28">
      <c r="A60">
        <f t="shared" si="9"/>
        <v>59</v>
      </c>
      <c r="B60">
        <v>6347</v>
      </c>
      <c r="C60">
        <v>6027.27338618675</v>
      </c>
      <c r="D60">
        <v>5319.8884637776</v>
      </c>
      <c r="E60">
        <v>6147.641</v>
      </c>
      <c r="F60">
        <v>6419.009</v>
      </c>
      <c r="G60">
        <v>6379.8</v>
      </c>
      <c r="H60">
        <v>6456.8</v>
      </c>
      <c r="I60">
        <v>6362.54</v>
      </c>
      <c r="J60">
        <v>6325.81</v>
      </c>
      <c r="S60">
        <f t="shared" si="10"/>
        <v>59</v>
      </c>
      <c r="U60">
        <f t="shared" si="1"/>
        <v>319.726613813255</v>
      </c>
      <c r="V60">
        <f t="shared" si="2"/>
        <v>1027.1115362224</v>
      </c>
      <c r="W60">
        <f t="shared" si="3"/>
        <v>199.359</v>
      </c>
      <c r="X60">
        <f t="shared" si="4"/>
        <v>-72.009</v>
      </c>
      <c r="Y60">
        <f t="shared" si="5"/>
        <v>-32.8000000000002</v>
      </c>
      <c r="Z60">
        <f t="shared" si="6"/>
        <v>-109.8</v>
      </c>
      <c r="AA60">
        <f t="shared" si="7"/>
        <v>-15.54</v>
      </c>
      <c r="AB60">
        <f t="shared" si="8"/>
        <v>21.1899999999996</v>
      </c>
    </row>
    <row r="61" spans="1:28">
      <c r="A61">
        <f t="shared" si="9"/>
        <v>60</v>
      </c>
      <c r="B61">
        <v>6397</v>
      </c>
      <c r="C61">
        <v>6207.20108049478</v>
      </c>
      <c r="D61">
        <v>5422.45578378259</v>
      </c>
      <c r="E61">
        <v>6391.622</v>
      </c>
      <c r="F61">
        <v>6491.314</v>
      </c>
      <c r="G61">
        <v>6379.8</v>
      </c>
      <c r="H61">
        <v>6456.8</v>
      </c>
      <c r="I61">
        <v>6436.876</v>
      </c>
      <c r="J61">
        <v>6425.631</v>
      </c>
      <c r="S61">
        <f t="shared" si="10"/>
        <v>60</v>
      </c>
      <c r="U61">
        <f t="shared" si="1"/>
        <v>189.798919505221</v>
      </c>
      <c r="V61">
        <f t="shared" si="2"/>
        <v>974.544216217409</v>
      </c>
      <c r="W61">
        <f t="shared" si="3"/>
        <v>5.3779999999997</v>
      </c>
      <c r="X61">
        <f t="shared" si="4"/>
        <v>-94.3140000000003</v>
      </c>
      <c r="Y61">
        <f t="shared" si="5"/>
        <v>17.1999999999998</v>
      </c>
      <c r="Z61">
        <f t="shared" si="6"/>
        <v>-59.8000000000002</v>
      </c>
      <c r="AA61">
        <f t="shared" si="7"/>
        <v>-39.8760000000002</v>
      </c>
      <c r="AB61">
        <f t="shared" si="8"/>
        <v>-28.6310000000003</v>
      </c>
    </row>
    <row r="62" spans="1:28">
      <c r="A62">
        <f t="shared" si="9"/>
        <v>61</v>
      </c>
      <c r="B62">
        <v>6434</v>
      </c>
      <c r="C62">
        <v>6387.12877480281</v>
      </c>
      <c r="D62">
        <v>5521.8523074647</v>
      </c>
      <c r="E62">
        <v>6635.604</v>
      </c>
      <c r="F62">
        <v>6496.286</v>
      </c>
      <c r="G62">
        <v>6379.8</v>
      </c>
      <c r="H62">
        <v>6456.8</v>
      </c>
      <c r="I62">
        <v>6454.639</v>
      </c>
      <c r="J62">
        <v>6490.418</v>
      </c>
      <c r="S62">
        <f t="shared" si="10"/>
        <v>61</v>
      </c>
      <c r="U62">
        <f t="shared" si="1"/>
        <v>46.8712251971883</v>
      </c>
      <c r="V62">
        <f t="shared" si="2"/>
        <v>912.147692535304</v>
      </c>
      <c r="W62">
        <f t="shared" si="3"/>
        <v>-201.604</v>
      </c>
      <c r="X62">
        <f t="shared" si="4"/>
        <v>-62.2860000000001</v>
      </c>
      <c r="Y62">
        <f t="shared" si="5"/>
        <v>54.1999999999998</v>
      </c>
      <c r="Z62">
        <f t="shared" si="6"/>
        <v>-22.8000000000002</v>
      </c>
      <c r="AA62">
        <f t="shared" si="7"/>
        <v>-20.6390000000001</v>
      </c>
      <c r="AB62">
        <f t="shared" si="8"/>
        <v>-56.4179999999997</v>
      </c>
    </row>
    <row r="63" spans="1:28">
      <c r="A63">
        <f t="shared" si="9"/>
        <v>62</v>
      </c>
      <c r="B63">
        <v>6456</v>
      </c>
      <c r="C63">
        <v>6567.05646911085</v>
      </c>
      <c r="D63">
        <v>5618.32034973913</v>
      </c>
      <c r="E63">
        <v>6879.586</v>
      </c>
      <c r="F63">
        <v>6506.824</v>
      </c>
      <c r="G63">
        <v>6379.8</v>
      </c>
      <c r="H63">
        <v>6456.8</v>
      </c>
      <c r="I63">
        <v>6428.705</v>
      </c>
      <c r="J63">
        <v>6522.515</v>
      </c>
      <c r="S63">
        <f t="shared" si="10"/>
        <v>62</v>
      </c>
      <c r="U63">
        <f t="shared" si="1"/>
        <v>-111.056469110847</v>
      </c>
      <c r="V63">
        <f t="shared" si="2"/>
        <v>837.679650260873</v>
      </c>
      <c r="W63">
        <f t="shared" si="3"/>
        <v>-423.586</v>
      </c>
      <c r="X63">
        <f t="shared" si="4"/>
        <v>-50.8239999999996</v>
      </c>
      <c r="Y63">
        <f t="shared" si="5"/>
        <v>76.1999999999998</v>
      </c>
      <c r="Z63">
        <f t="shared" si="6"/>
        <v>-0.800000000000182</v>
      </c>
      <c r="AA63">
        <f t="shared" si="7"/>
        <v>27.2950000000001</v>
      </c>
      <c r="AB63">
        <f t="shared" si="8"/>
        <v>-66.5150000000003</v>
      </c>
    </row>
    <row r="64" spans="1:28">
      <c r="A64">
        <f t="shared" si="9"/>
        <v>63</v>
      </c>
      <c r="B64">
        <v>4505</v>
      </c>
      <c r="C64">
        <v>6376.95138855331</v>
      </c>
      <c r="D64">
        <v>4746.70013666682</v>
      </c>
      <c r="E64">
        <v>5912.512</v>
      </c>
      <c r="F64">
        <v>4830.705</v>
      </c>
      <c r="G64">
        <v>4505</v>
      </c>
      <c r="H64">
        <v>5040.2</v>
      </c>
      <c r="I64">
        <v>4621.077</v>
      </c>
      <c r="J64">
        <v>4925.688</v>
      </c>
      <c r="S64">
        <f t="shared" si="10"/>
        <v>63</v>
      </c>
      <c r="U64">
        <f t="shared" si="1"/>
        <v>-1871.95138855331</v>
      </c>
      <c r="V64">
        <f t="shared" si="2"/>
        <v>-241.700136666824</v>
      </c>
      <c r="W64">
        <f t="shared" si="3"/>
        <v>-1407.512</v>
      </c>
      <c r="X64">
        <f t="shared" si="4"/>
        <v>-325.705</v>
      </c>
      <c r="Y64">
        <f t="shared" si="5"/>
        <v>0</v>
      </c>
      <c r="Z64">
        <f t="shared" si="6"/>
        <v>-535.2</v>
      </c>
      <c r="AA64">
        <f t="shared" si="7"/>
        <v>-116.077</v>
      </c>
      <c r="AB64">
        <f t="shared" si="8"/>
        <v>-420.688</v>
      </c>
    </row>
    <row r="65" spans="1:28">
      <c r="A65">
        <f t="shared" si="9"/>
        <v>64</v>
      </c>
      <c r="B65">
        <v>5501</v>
      </c>
      <c r="C65">
        <v>6556.87908286134</v>
      </c>
      <c r="D65">
        <v>5520.14515822318</v>
      </c>
      <c r="E65">
        <v>6246.837</v>
      </c>
      <c r="F65">
        <v>5264.485</v>
      </c>
      <c r="G65">
        <v>5501</v>
      </c>
      <c r="H65">
        <v>5040.2</v>
      </c>
      <c r="I65">
        <v>5301.118</v>
      </c>
      <c r="J65">
        <v>5648.856</v>
      </c>
      <c r="S65">
        <f t="shared" si="10"/>
        <v>64</v>
      </c>
      <c r="U65">
        <f t="shared" si="1"/>
        <v>-1055.87908286134</v>
      </c>
      <c r="V65">
        <f t="shared" si="2"/>
        <v>-19.1451582231775</v>
      </c>
      <c r="W65">
        <f t="shared" si="3"/>
        <v>-745.837</v>
      </c>
      <c r="X65">
        <f t="shared" si="4"/>
        <v>236.515</v>
      </c>
      <c r="Y65">
        <f t="shared" si="5"/>
        <v>0</v>
      </c>
      <c r="Z65">
        <f t="shared" si="6"/>
        <v>460.8</v>
      </c>
      <c r="AA65">
        <f t="shared" si="7"/>
        <v>199.882</v>
      </c>
      <c r="AB65">
        <f t="shared" si="8"/>
        <v>-147.856</v>
      </c>
    </row>
    <row r="66" spans="1:28">
      <c r="A66">
        <f t="shared" si="9"/>
        <v>65</v>
      </c>
      <c r="B66">
        <v>6602</v>
      </c>
      <c r="C66">
        <v>6916.73447147741</v>
      </c>
      <c r="D66">
        <v>6676.43605374243</v>
      </c>
      <c r="E66">
        <v>6915.487</v>
      </c>
      <c r="F66">
        <v>6577.193</v>
      </c>
      <c r="G66">
        <v>6602</v>
      </c>
      <c r="H66">
        <v>7248.667</v>
      </c>
      <c r="I66">
        <v>6954.13</v>
      </c>
      <c r="J66">
        <v>6992.351</v>
      </c>
      <c r="S66">
        <f t="shared" si="10"/>
        <v>65</v>
      </c>
      <c r="U66">
        <f t="shared" si="1"/>
        <v>-314.734471477408</v>
      </c>
      <c r="V66">
        <f t="shared" si="2"/>
        <v>-74.4360537424309</v>
      </c>
      <c r="W66">
        <f t="shared" si="3"/>
        <v>-313.487</v>
      </c>
      <c r="X66">
        <f t="shared" si="4"/>
        <v>24.8069999999998</v>
      </c>
      <c r="Y66">
        <f t="shared" si="5"/>
        <v>0</v>
      </c>
      <c r="Z66">
        <f t="shared" si="6"/>
        <v>-646.667</v>
      </c>
      <c r="AA66">
        <f t="shared" si="7"/>
        <v>-352.13</v>
      </c>
      <c r="AB66">
        <f t="shared" si="8"/>
        <v>-390.351</v>
      </c>
    </row>
    <row r="67" spans="1:28">
      <c r="A67">
        <f t="shared" si="9"/>
        <v>66</v>
      </c>
      <c r="B67">
        <v>7722</v>
      </c>
      <c r="C67">
        <v>7096.66216578544</v>
      </c>
      <c r="D67">
        <v>7145.35545361524</v>
      </c>
      <c r="E67">
        <v>7249.813</v>
      </c>
      <c r="F67">
        <v>7910.022</v>
      </c>
      <c r="G67">
        <v>7722</v>
      </c>
      <c r="H67">
        <v>7248.667</v>
      </c>
      <c r="I67">
        <v>7802.439</v>
      </c>
      <c r="J67">
        <v>7595.407</v>
      </c>
      <c r="S67">
        <f t="shared" si="10"/>
        <v>66</v>
      </c>
      <c r="U67">
        <f t="shared" ref="U67:U130" si="11">($B67-C67)</f>
        <v>625.337834214559</v>
      </c>
      <c r="V67">
        <f t="shared" ref="V67:V130" si="12">($B67-D67)</f>
        <v>576.644546384764</v>
      </c>
      <c r="W67">
        <f t="shared" ref="W67:W130" si="13">($B67-E67)</f>
        <v>472.187</v>
      </c>
      <c r="X67">
        <f t="shared" ref="X67:X130" si="14">($B67-F67)</f>
        <v>-188.022</v>
      </c>
      <c r="Y67">
        <f t="shared" ref="Y67:Y130" si="15">($B67-G67)</f>
        <v>0</v>
      </c>
      <c r="Z67">
        <f t="shared" ref="Z67:Z130" si="16">($B67-H67)</f>
        <v>473.333</v>
      </c>
      <c r="AA67">
        <f t="shared" ref="AA67:AA130" si="17">($B67-I67)</f>
        <v>-80.4390000000003</v>
      </c>
      <c r="AB67">
        <f t="shared" ref="AB67:AB130" si="18">($B67-J67)</f>
        <v>126.593</v>
      </c>
    </row>
    <row r="68" spans="1:28">
      <c r="A68">
        <f t="shared" ref="A68:A131" si="19">A67+1</f>
        <v>67</v>
      </c>
      <c r="B68">
        <v>9031</v>
      </c>
      <c r="C68">
        <v>7276.58986009348</v>
      </c>
      <c r="D68">
        <v>7567.424549979</v>
      </c>
      <c r="E68">
        <v>7968.722</v>
      </c>
      <c r="F68">
        <v>8840.682</v>
      </c>
      <c r="G68">
        <v>9074</v>
      </c>
      <c r="H68">
        <v>8914.6</v>
      </c>
      <c r="I68">
        <v>8558.433</v>
      </c>
      <c r="J68">
        <v>8143.473</v>
      </c>
      <c r="S68">
        <f t="shared" ref="S68:S131" si="20">S67+1</f>
        <v>67</v>
      </c>
      <c r="U68">
        <f t="shared" si="11"/>
        <v>1754.41013990652</v>
      </c>
      <c r="V68">
        <f t="shared" si="12"/>
        <v>1463.575450021</v>
      </c>
      <c r="W68">
        <f t="shared" si="13"/>
        <v>1062.278</v>
      </c>
      <c r="X68">
        <f t="shared" si="14"/>
        <v>190.317999999999</v>
      </c>
      <c r="Y68">
        <f t="shared" si="15"/>
        <v>-43</v>
      </c>
      <c r="Z68">
        <f t="shared" si="16"/>
        <v>116.4</v>
      </c>
      <c r="AA68">
        <f t="shared" si="17"/>
        <v>472.566999999999</v>
      </c>
      <c r="AB68">
        <f t="shared" si="18"/>
        <v>887.527</v>
      </c>
    </row>
    <row r="69" spans="1:28">
      <c r="A69">
        <f t="shared" si="19"/>
        <v>68</v>
      </c>
      <c r="B69">
        <v>9117</v>
      </c>
      <c r="C69">
        <v>7456.51755440151</v>
      </c>
      <c r="D69">
        <v>7953.13724281467</v>
      </c>
      <c r="E69">
        <v>8146.098</v>
      </c>
      <c r="F69">
        <v>8762.587</v>
      </c>
      <c r="G69">
        <v>9074</v>
      </c>
      <c r="H69">
        <v>8914.6</v>
      </c>
      <c r="I69">
        <v>9155.328</v>
      </c>
      <c r="J69">
        <v>8631.63</v>
      </c>
      <c r="S69">
        <f t="shared" si="20"/>
        <v>68</v>
      </c>
      <c r="U69">
        <f t="shared" si="11"/>
        <v>1660.48244559849</v>
      </c>
      <c r="V69">
        <f t="shared" si="12"/>
        <v>1163.86275718533</v>
      </c>
      <c r="W69">
        <f t="shared" si="13"/>
        <v>970.902</v>
      </c>
      <c r="X69">
        <f t="shared" si="14"/>
        <v>354.413</v>
      </c>
      <c r="Y69">
        <f t="shared" si="15"/>
        <v>43</v>
      </c>
      <c r="Z69">
        <f t="shared" si="16"/>
        <v>202.4</v>
      </c>
      <c r="AA69">
        <f t="shared" si="17"/>
        <v>-38.3279999999995</v>
      </c>
      <c r="AB69">
        <f t="shared" si="18"/>
        <v>485.370000000001</v>
      </c>
    </row>
    <row r="70" spans="1:28">
      <c r="A70">
        <f t="shared" si="19"/>
        <v>69</v>
      </c>
      <c r="B70">
        <v>9810</v>
      </c>
      <c r="C70">
        <v>7996.30063732561</v>
      </c>
      <c r="D70">
        <v>8954.23551190136</v>
      </c>
      <c r="E70">
        <v>8802.066</v>
      </c>
      <c r="F70">
        <v>9662.935</v>
      </c>
      <c r="G70">
        <v>9902</v>
      </c>
      <c r="H70">
        <v>9853.824</v>
      </c>
      <c r="I70">
        <v>9885.361</v>
      </c>
      <c r="J70">
        <v>9712.954</v>
      </c>
      <c r="S70">
        <f t="shared" si="20"/>
        <v>69</v>
      </c>
      <c r="U70">
        <f t="shared" si="11"/>
        <v>1813.69936267439</v>
      </c>
      <c r="V70">
        <f t="shared" si="12"/>
        <v>855.764488098641</v>
      </c>
      <c r="W70">
        <f t="shared" si="13"/>
        <v>1007.934</v>
      </c>
      <c r="X70">
        <f t="shared" si="14"/>
        <v>147.065000000001</v>
      </c>
      <c r="Y70">
        <f t="shared" si="15"/>
        <v>-92</v>
      </c>
      <c r="Z70">
        <f t="shared" si="16"/>
        <v>-43.8240000000005</v>
      </c>
      <c r="AA70">
        <f t="shared" si="17"/>
        <v>-75.3610000000008</v>
      </c>
      <c r="AB70">
        <f t="shared" si="18"/>
        <v>97.0460000000003</v>
      </c>
    </row>
    <row r="71" spans="1:28">
      <c r="A71">
        <f t="shared" si="19"/>
        <v>70</v>
      </c>
      <c r="B71">
        <v>9876</v>
      </c>
      <c r="C71">
        <v>8176.22833163365</v>
      </c>
      <c r="D71">
        <v>9249.05108382021</v>
      </c>
      <c r="E71">
        <v>8972.948</v>
      </c>
      <c r="F71">
        <v>9811.793</v>
      </c>
      <c r="G71">
        <v>9902</v>
      </c>
      <c r="H71">
        <v>9853.824</v>
      </c>
      <c r="I71">
        <v>9902.53</v>
      </c>
      <c r="J71">
        <v>9946.124</v>
      </c>
      <c r="S71">
        <f t="shared" si="20"/>
        <v>70</v>
      </c>
      <c r="U71">
        <f t="shared" si="11"/>
        <v>1699.77166836635</v>
      </c>
      <c r="V71">
        <f t="shared" si="12"/>
        <v>626.948916179786</v>
      </c>
      <c r="W71">
        <f t="shared" si="13"/>
        <v>903.052</v>
      </c>
      <c r="X71">
        <f t="shared" si="14"/>
        <v>64.2070000000003</v>
      </c>
      <c r="Y71">
        <f t="shared" si="15"/>
        <v>-26</v>
      </c>
      <c r="Z71">
        <f t="shared" si="16"/>
        <v>22.1759999999995</v>
      </c>
      <c r="AA71">
        <f t="shared" si="17"/>
        <v>-26.5300000000007</v>
      </c>
      <c r="AB71">
        <f t="shared" si="18"/>
        <v>-70.1239999999998</v>
      </c>
    </row>
    <row r="72" spans="1:28">
      <c r="A72">
        <f t="shared" si="19"/>
        <v>71</v>
      </c>
      <c r="B72">
        <v>9884</v>
      </c>
      <c r="C72">
        <v>8356.15602594168</v>
      </c>
      <c r="D72">
        <v>9528.81939436499</v>
      </c>
      <c r="E72">
        <v>9143.83</v>
      </c>
      <c r="F72">
        <v>9897.482</v>
      </c>
      <c r="G72">
        <v>9902</v>
      </c>
      <c r="H72">
        <v>9853.824</v>
      </c>
      <c r="I72">
        <v>9892.718</v>
      </c>
      <c r="J72">
        <v>10119.7</v>
      </c>
      <c r="S72">
        <f t="shared" si="20"/>
        <v>71</v>
      </c>
      <c r="U72">
        <f t="shared" si="11"/>
        <v>1527.84397405832</v>
      </c>
      <c r="V72">
        <f t="shared" si="12"/>
        <v>355.180605635005</v>
      </c>
      <c r="W72">
        <f t="shared" si="13"/>
        <v>740.17</v>
      </c>
      <c r="X72">
        <f t="shared" si="14"/>
        <v>-13.482</v>
      </c>
      <c r="Y72">
        <f t="shared" si="15"/>
        <v>-18</v>
      </c>
      <c r="Z72">
        <f t="shared" si="16"/>
        <v>30.1759999999995</v>
      </c>
      <c r="AA72">
        <f t="shared" si="17"/>
        <v>-8.71800000000076</v>
      </c>
      <c r="AB72">
        <f t="shared" si="18"/>
        <v>-235.700000000001</v>
      </c>
    </row>
    <row r="73" spans="1:28">
      <c r="A73">
        <f t="shared" si="19"/>
        <v>72</v>
      </c>
      <c r="B73">
        <v>9942</v>
      </c>
      <c r="C73">
        <v>8536.08372024971</v>
      </c>
      <c r="D73">
        <v>9795.38340535576</v>
      </c>
      <c r="E73">
        <v>9314.713</v>
      </c>
      <c r="F73">
        <v>9866.431</v>
      </c>
      <c r="G73">
        <v>9902</v>
      </c>
      <c r="H73">
        <v>9853.824</v>
      </c>
      <c r="I73">
        <v>9889.379</v>
      </c>
      <c r="J73">
        <v>10238.043</v>
      </c>
      <c r="S73">
        <f t="shared" si="20"/>
        <v>72</v>
      </c>
      <c r="U73">
        <f t="shared" si="11"/>
        <v>1405.91627975029</v>
      </c>
      <c r="V73">
        <f t="shared" si="12"/>
        <v>146.616594644236</v>
      </c>
      <c r="W73">
        <f t="shared" si="13"/>
        <v>627.287</v>
      </c>
      <c r="X73">
        <f t="shared" si="14"/>
        <v>75.5689999999995</v>
      </c>
      <c r="Y73">
        <f t="shared" si="15"/>
        <v>40</v>
      </c>
      <c r="Z73">
        <f t="shared" si="16"/>
        <v>88.1759999999995</v>
      </c>
      <c r="AA73">
        <f t="shared" si="17"/>
        <v>52.6209999999992</v>
      </c>
      <c r="AB73">
        <f t="shared" si="18"/>
        <v>-296.043</v>
      </c>
    </row>
    <row r="74" spans="1:28">
      <c r="A74">
        <f t="shared" si="19"/>
        <v>73</v>
      </c>
      <c r="B74">
        <v>9998</v>
      </c>
      <c r="C74">
        <v>9075.86680317381</v>
      </c>
      <c r="D74">
        <v>10529.653247189</v>
      </c>
      <c r="E74">
        <v>9827.359</v>
      </c>
      <c r="F74">
        <v>9963.756</v>
      </c>
      <c r="G74">
        <v>9902</v>
      </c>
      <c r="H74">
        <v>9853.824</v>
      </c>
      <c r="I74">
        <v>10010.907</v>
      </c>
      <c r="J74">
        <v>10318.382</v>
      </c>
      <c r="S74">
        <f t="shared" si="20"/>
        <v>73</v>
      </c>
      <c r="U74">
        <f t="shared" si="11"/>
        <v>922.133196826186</v>
      </c>
      <c r="V74">
        <f t="shared" si="12"/>
        <v>-531.653247189004</v>
      </c>
      <c r="W74">
        <f t="shared" si="13"/>
        <v>170.641</v>
      </c>
      <c r="X74">
        <f t="shared" si="14"/>
        <v>34.2440000000006</v>
      </c>
      <c r="Y74">
        <f t="shared" si="15"/>
        <v>96</v>
      </c>
      <c r="Z74">
        <f t="shared" si="16"/>
        <v>144.175999999999</v>
      </c>
      <c r="AA74">
        <f t="shared" si="17"/>
        <v>-12.9069999999992</v>
      </c>
      <c r="AB74">
        <f t="shared" si="18"/>
        <v>-320.382</v>
      </c>
    </row>
    <row r="75" spans="1:28">
      <c r="A75">
        <f t="shared" si="19"/>
        <v>74</v>
      </c>
      <c r="B75">
        <v>10141</v>
      </c>
      <c r="C75">
        <v>9435.72219178988</v>
      </c>
      <c r="D75">
        <v>10974.8320128328</v>
      </c>
      <c r="E75">
        <v>10169.124</v>
      </c>
      <c r="F75">
        <v>10065.325</v>
      </c>
      <c r="G75">
        <v>10150.667</v>
      </c>
      <c r="H75">
        <v>9853.824</v>
      </c>
      <c r="I75">
        <v>10136.959</v>
      </c>
      <c r="J75">
        <v>10207.574</v>
      </c>
      <c r="S75">
        <f t="shared" si="20"/>
        <v>74</v>
      </c>
      <c r="U75">
        <f t="shared" si="11"/>
        <v>705.277808210118</v>
      </c>
      <c r="V75">
        <f t="shared" si="12"/>
        <v>-833.832012832789</v>
      </c>
      <c r="W75">
        <f t="shared" si="13"/>
        <v>-28.1239999999998</v>
      </c>
      <c r="X75">
        <f t="shared" si="14"/>
        <v>75.6749999999993</v>
      </c>
      <c r="Y75">
        <f t="shared" si="15"/>
        <v>-9.66699999999946</v>
      </c>
      <c r="Z75">
        <f t="shared" si="16"/>
        <v>287.175999999999</v>
      </c>
      <c r="AA75">
        <f t="shared" si="17"/>
        <v>4.04099999999926</v>
      </c>
      <c r="AB75">
        <f t="shared" si="18"/>
        <v>-66.5740000000005</v>
      </c>
    </row>
    <row r="76" spans="1:28">
      <c r="A76">
        <f t="shared" si="19"/>
        <v>75</v>
      </c>
      <c r="B76">
        <v>10152</v>
      </c>
      <c r="C76">
        <v>9795.57758040595</v>
      </c>
      <c r="D76">
        <v>11391.4797061489</v>
      </c>
      <c r="E76">
        <v>10510.889</v>
      </c>
      <c r="F76">
        <v>10104.265</v>
      </c>
      <c r="G76">
        <v>10150.667</v>
      </c>
      <c r="H76">
        <v>9853.824</v>
      </c>
      <c r="I76">
        <v>10166.26</v>
      </c>
      <c r="J76">
        <v>10025.129</v>
      </c>
      <c r="S76">
        <f t="shared" si="20"/>
        <v>75</v>
      </c>
      <c r="U76">
        <f t="shared" si="11"/>
        <v>356.422419594051</v>
      </c>
      <c r="V76">
        <f t="shared" si="12"/>
        <v>-1239.47970614889</v>
      </c>
      <c r="W76">
        <f t="shared" si="13"/>
        <v>-358.888999999999</v>
      </c>
      <c r="X76">
        <f t="shared" si="14"/>
        <v>47.7350000000006</v>
      </c>
      <c r="Y76">
        <f t="shared" si="15"/>
        <v>1.33300000000054</v>
      </c>
      <c r="Z76">
        <f t="shared" si="16"/>
        <v>298.175999999999</v>
      </c>
      <c r="AA76">
        <f t="shared" si="17"/>
        <v>-14.2600000000002</v>
      </c>
      <c r="AB76">
        <f t="shared" si="18"/>
        <v>126.870999999999</v>
      </c>
    </row>
    <row r="77" spans="1:28">
      <c r="A77">
        <f t="shared" si="19"/>
        <v>76</v>
      </c>
      <c r="B77">
        <v>10159</v>
      </c>
      <c r="C77">
        <v>9975.50527471398</v>
      </c>
      <c r="D77">
        <v>11590.4915023129</v>
      </c>
      <c r="E77">
        <v>10681.771</v>
      </c>
      <c r="F77">
        <v>10105.254</v>
      </c>
      <c r="G77">
        <v>10150.667</v>
      </c>
      <c r="H77">
        <v>9853.824</v>
      </c>
      <c r="I77">
        <v>10106.601</v>
      </c>
      <c r="J77">
        <v>9920.935</v>
      </c>
      <c r="S77">
        <f t="shared" si="20"/>
        <v>76</v>
      </c>
      <c r="U77">
        <f t="shared" si="11"/>
        <v>183.494725286017</v>
      </c>
      <c r="V77">
        <f t="shared" si="12"/>
        <v>-1431.49150231293</v>
      </c>
      <c r="W77">
        <f t="shared" si="13"/>
        <v>-522.771000000001</v>
      </c>
      <c r="X77">
        <f t="shared" si="14"/>
        <v>53.7459999999992</v>
      </c>
      <c r="Y77">
        <f t="shared" si="15"/>
        <v>8.33300000000054</v>
      </c>
      <c r="Z77">
        <f t="shared" si="16"/>
        <v>305.175999999999</v>
      </c>
      <c r="AA77">
        <f t="shared" si="17"/>
        <v>52.3989999999994</v>
      </c>
      <c r="AB77">
        <f t="shared" si="18"/>
        <v>238.065000000001</v>
      </c>
    </row>
    <row r="78" spans="1:28">
      <c r="A78">
        <f t="shared" si="19"/>
        <v>77</v>
      </c>
      <c r="B78">
        <v>1232</v>
      </c>
      <c r="C78">
        <v>2926.60953807201</v>
      </c>
      <c r="D78">
        <v>1856.0055124343</v>
      </c>
      <c r="E78">
        <v>1456.285</v>
      </c>
      <c r="F78">
        <v>1304.934</v>
      </c>
      <c r="G78">
        <v>1250.333</v>
      </c>
      <c r="H78">
        <v>1206.833</v>
      </c>
      <c r="I78">
        <v>1272.41</v>
      </c>
      <c r="J78">
        <v>850.865</v>
      </c>
      <c r="S78">
        <f t="shared" si="20"/>
        <v>77</v>
      </c>
      <c r="U78">
        <f t="shared" si="11"/>
        <v>-1694.60953807201</v>
      </c>
      <c r="V78">
        <f t="shared" si="12"/>
        <v>-624.0055124343</v>
      </c>
      <c r="W78">
        <f t="shared" si="13"/>
        <v>-224.285</v>
      </c>
      <c r="X78">
        <f t="shared" si="14"/>
        <v>-72.934</v>
      </c>
      <c r="Y78">
        <f t="shared" si="15"/>
        <v>-18.3330000000001</v>
      </c>
      <c r="Z78">
        <f t="shared" si="16"/>
        <v>25.1669999999999</v>
      </c>
      <c r="AA78">
        <f t="shared" si="17"/>
        <v>-40.4100000000001</v>
      </c>
      <c r="AB78">
        <f t="shared" si="18"/>
        <v>381.135</v>
      </c>
    </row>
    <row r="79" spans="1:28">
      <c r="A79">
        <f t="shared" si="19"/>
        <v>78</v>
      </c>
      <c r="B79">
        <v>1244</v>
      </c>
      <c r="C79">
        <v>3106.53723238004</v>
      </c>
      <c r="D79">
        <v>2402.4402855524</v>
      </c>
      <c r="E79">
        <v>1710.083</v>
      </c>
      <c r="F79">
        <v>1310.362</v>
      </c>
      <c r="G79">
        <v>1250.333</v>
      </c>
      <c r="H79">
        <v>1206.833</v>
      </c>
      <c r="I79">
        <v>1212.406</v>
      </c>
      <c r="J79">
        <v>1095.338</v>
      </c>
      <c r="S79">
        <f t="shared" si="20"/>
        <v>78</v>
      </c>
      <c r="U79">
        <f t="shared" si="11"/>
        <v>-1862.53723238004</v>
      </c>
      <c r="V79">
        <f t="shared" si="12"/>
        <v>-1158.4402855524</v>
      </c>
      <c r="W79">
        <f t="shared" si="13"/>
        <v>-466.083</v>
      </c>
      <c r="X79">
        <f t="shared" si="14"/>
        <v>-66.3620000000001</v>
      </c>
      <c r="Y79">
        <f t="shared" si="15"/>
        <v>-6.33300000000008</v>
      </c>
      <c r="Z79">
        <f t="shared" si="16"/>
        <v>37.1669999999999</v>
      </c>
      <c r="AA79">
        <f t="shared" si="17"/>
        <v>31.5940000000001</v>
      </c>
      <c r="AB79">
        <f t="shared" si="18"/>
        <v>148.662</v>
      </c>
    </row>
    <row r="80" spans="1:28">
      <c r="A80">
        <f t="shared" si="19"/>
        <v>79</v>
      </c>
      <c r="B80">
        <v>1275</v>
      </c>
      <c r="C80">
        <v>3286.46492668807</v>
      </c>
      <c r="D80">
        <v>2793.90286480682</v>
      </c>
      <c r="E80">
        <v>1963.88</v>
      </c>
      <c r="F80">
        <v>1320.209</v>
      </c>
      <c r="G80">
        <v>1250.333</v>
      </c>
      <c r="H80">
        <v>1206.833</v>
      </c>
      <c r="I80">
        <v>1223.915</v>
      </c>
      <c r="J80">
        <v>1376.995</v>
      </c>
      <c r="S80">
        <f t="shared" si="20"/>
        <v>79</v>
      </c>
      <c r="U80">
        <f t="shared" si="11"/>
        <v>-2011.46492668807</v>
      </c>
      <c r="V80">
        <f t="shared" si="12"/>
        <v>-1518.90286480682</v>
      </c>
      <c r="W80">
        <f t="shared" si="13"/>
        <v>-688.88</v>
      </c>
      <c r="X80">
        <f t="shared" si="14"/>
        <v>-45.2090000000001</v>
      </c>
      <c r="Y80">
        <f t="shared" si="15"/>
        <v>24.6669999999999</v>
      </c>
      <c r="Z80">
        <f t="shared" si="16"/>
        <v>68.1669999999999</v>
      </c>
      <c r="AA80">
        <f t="shared" si="17"/>
        <v>51.085</v>
      </c>
      <c r="AB80">
        <f t="shared" si="18"/>
        <v>-101.995</v>
      </c>
    </row>
    <row r="81" spans="1:28">
      <c r="A81">
        <f t="shared" si="19"/>
        <v>80</v>
      </c>
      <c r="B81">
        <v>1475</v>
      </c>
      <c r="C81">
        <v>3646.32031530414</v>
      </c>
      <c r="D81">
        <v>3379.13465725866</v>
      </c>
      <c r="E81">
        <v>2471.474</v>
      </c>
      <c r="F81">
        <v>1639.836</v>
      </c>
      <c r="G81">
        <v>1475</v>
      </c>
      <c r="H81">
        <v>1206.833</v>
      </c>
      <c r="I81">
        <v>1572.864</v>
      </c>
      <c r="J81">
        <v>2035.333</v>
      </c>
      <c r="S81">
        <f t="shared" si="20"/>
        <v>80</v>
      </c>
      <c r="U81">
        <f t="shared" si="11"/>
        <v>-2171.32031530414</v>
      </c>
      <c r="V81">
        <f t="shared" si="12"/>
        <v>-1904.13465725866</v>
      </c>
      <c r="W81">
        <f t="shared" si="13"/>
        <v>-996.474</v>
      </c>
      <c r="X81">
        <f t="shared" si="14"/>
        <v>-164.836</v>
      </c>
      <c r="Y81">
        <f t="shared" si="15"/>
        <v>0</v>
      </c>
      <c r="Z81">
        <f t="shared" si="16"/>
        <v>268.167</v>
      </c>
      <c r="AA81">
        <f t="shared" si="17"/>
        <v>-97.864</v>
      </c>
      <c r="AB81">
        <f t="shared" si="18"/>
        <v>-560.333</v>
      </c>
    </row>
    <row r="82" spans="1:28">
      <c r="A82">
        <f t="shared" si="19"/>
        <v>81</v>
      </c>
      <c r="B82">
        <v>2520</v>
      </c>
      <c r="C82">
        <v>4006.17570392021</v>
      </c>
      <c r="D82">
        <v>3830.08934065806</v>
      </c>
      <c r="E82">
        <v>3048.834</v>
      </c>
      <c r="F82">
        <v>2893.21</v>
      </c>
      <c r="G82">
        <v>2520</v>
      </c>
      <c r="H82">
        <v>2814.5</v>
      </c>
      <c r="I82">
        <v>2448.442</v>
      </c>
      <c r="J82">
        <v>2785.973</v>
      </c>
      <c r="S82">
        <f t="shared" si="20"/>
        <v>81</v>
      </c>
      <c r="U82">
        <f t="shared" si="11"/>
        <v>-1486.17570392021</v>
      </c>
      <c r="V82">
        <f t="shared" si="12"/>
        <v>-1310.08934065806</v>
      </c>
      <c r="W82">
        <f t="shared" si="13"/>
        <v>-528.834</v>
      </c>
      <c r="X82">
        <f t="shared" si="14"/>
        <v>-373.21</v>
      </c>
      <c r="Y82">
        <f t="shared" si="15"/>
        <v>0</v>
      </c>
      <c r="Z82">
        <f t="shared" si="16"/>
        <v>-294.5</v>
      </c>
      <c r="AA82">
        <f t="shared" si="17"/>
        <v>71.558</v>
      </c>
      <c r="AB82">
        <f t="shared" si="18"/>
        <v>-265.973</v>
      </c>
    </row>
    <row r="83" spans="1:28">
      <c r="A83">
        <f t="shared" si="19"/>
        <v>82</v>
      </c>
      <c r="B83">
        <v>2879</v>
      </c>
      <c r="C83">
        <v>4186.10339822824</v>
      </c>
      <c r="D83">
        <v>4025.30953263084</v>
      </c>
      <c r="E83">
        <v>3333.494</v>
      </c>
      <c r="F83">
        <v>3009.145</v>
      </c>
      <c r="G83">
        <v>2879</v>
      </c>
      <c r="H83">
        <v>2814.5</v>
      </c>
      <c r="I83">
        <v>3035.342</v>
      </c>
      <c r="J83">
        <v>3181.119</v>
      </c>
      <c r="S83">
        <f t="shared" si="20"/>
        <v>82</v>
      </c>
      <c r="U83">
        <f t="shared" si="11"/>
        <v>-1307.10339822824</v>
      </c>
      <c r="V83">
        <f t="shared" si="12"/>
        <v>-1146.30953263084</v>
      </c>
      <c r="W83">
        <f t="shared" si="13"/>
        <v>-454.494</v>
      </c>
      <c r="X83">
        <f t="shared" si="14"/>
        <v>-130.145</v>
      </c>
      <c r="Y83">
        <f t="shared" si="15"/>
        <v>0</v>
      </c>
      <c r="Z83">
        <f t="shared" si="16"/>
        <v>64.5</v>
      </c>
      <c r="AA83">
        <f t="shared" si="17"/>
        <v>-156.342</v>
      </c>
      <c r="AB83">
        <f t="shared" si="18"/>
        <v>-302.119</v>
      </c>
    </row>
    <row r="84" spans="1:28">
      <c r="A84">
        <f t="shared" si="19"/>
        <v>83</v>
      </c>
      <c r="B84">
        <v>3445</v>
      </c>
      <c r="C84">
        <v>4366.03109253628</v>
      </c>
      <c r="D84">
        <v>4205.74894076565</v>
      </c>
      <c r="E84">
        <v>3618.153</v>
      </c>
      <c r="F84">
        <v>3620.375</v>
      </c>
      <c r="G84">
        <v>3445</v>
      </c>
      <c r="H84">
        <v>2814.5</v>
      </c>
      <c r="I84">
        <v>3646.811</v>
      </c>
      <c r="J84">
        <v>3581.015</v>
      </c>
      <c r="S84">
        <f t="shared" si="20"/>
        <v>83</v>
      </c>
      <c r="U84">
        <f t="shared" si="11"/>
        <v>-921.031092536277</v>
      </c>
      <c r="V84">
        <f t="shared" si="12"/>
        <v>-760.748940765649</v>
      </c>
      <c r="W84">
        <f t="shared" si="13"/>
        <v>-173.153</v>
      </c>
      <c r="X84">
        <f t="shared" si="14"/>
        <v>-175.375</v>
      </c>
      <c r="Y84">
        <f t="shared" si="15"/>
        <v>0</v>
      </c>
      <c r="Z84">
        <f t="shared" si="16"/>
        <v>630.5</v>
      </c>
      <c r="AA84">
        <f t="shared" si="17"/>
        <v>-201.811</v>
      </c>
      <c r="AB84">
        <f t="shared" si="18"/>
        <v>-136.015</v>
      </c>
    </row>
    <row r="85" spans="1:28">
      <c r="A85">
        <f t="shared" si="19"/>
        <v>84</v>
      </c>
      <c r="B85">
        <v>4640</v>
      </c>
      <c r="C85">
        <v>4545.95878684431</v>
      </c>
      <c r="D85">
        <v>4374.00060318617</v>
      </c>
      <c r="E85">
        <v>4190.717</v>
      </c>
      <c r="F85">
        <v>4575.279</v>
      </c>
      <c r="G85">
        <v>4648</v>
      </c>
      <c r="H85">
        <v>4498</v>
      </c>
      <c r="I85">
        <v>4215.915</v>
      </c>
      <c r="J85">
        <v>3979.234</v>
      </c>
      <c r="S85">
        <f t="shared" si="20"/>
        <v>84</v>
      </c>
      <c r="U85">
        <f t="shared" si="11"/>
        <v>94.0412131556895</v>
      </c>
      <c r="V85">
        <f t="shared" si="12"/>
        <v>265.999396813828</v>
      </c>
      <c r="W85">
        <f t="shared" si="13"/>
        <v>449.283</v>
      </c>
      <c r="X85">
        <f t="shared" si="14"/>
        <v>64.7209999999995</v>
      </c>
      <c r="Y85">
        <f t="shared" si="15"/>
        <v>-8</v>
      </c>
      <c r="Z85">
        <f t="shared" si="16"/>
        <v>142</v>
      </c>
      <c r="AA85">
        <f t="shared" si="17"/>
        <v>424.085</v>
      </c>
      <c r="AB85">
        <f t="shared" si="18"/>
        <v>660.766</v>
      </c>
    </row>
    <row r="86" spans="1:28">
      <c r="A86">
        <f t="shared" si="19"/>
        <v>85</v>
      </c>
      <c r="B86">
        <v>4656</v>
      </c>
      <c r="C86">
        <v>4725.88648115234</v>
      </c>
      <c r="D86">
        <v>4531.99391171603</v>
      </c>
      <c r="E86">
        <v>4434.699</v>
      </c>
      <c r="F86">
        <v>4839.529</v>
      </c>
      <c r="G86">
        <v>4648</v>
      </c>
      <c r="H86">
        <v>4498</v>
      </c>
      <c r="I86">
        <v>4692.146</v>
      </c>
      <c r="J86">
        <v>4369.487</v>
      </c>
      <c r="S86">
        <f t="shared" si="20"/>
        <v>85</v>
      </c>
      <c r="U86">
        <f t="shared" si="11"/>
        <v>-69.8864811523435</v>
      </c>
      <c r="V86">
        <f t="shared" si="12"/>
        <v>124.006088283966</v>
      </c>
      <c r="W86">
        <f t="shared" si="13"/>
        <v>221.301</v>
      </c>
      <c r="X86">
        <f t="shared" si="14"/>
        <v>-183.529</v>
      </c>
      <c r="Y86">
        <f t="shared" si="15"/>
        <v>8</v>
      </c>
      <c r="Z86">
        <f t="shared" si="16"/>
        <v>158</v>
      </c>
      <c r="AA86">
        <f t="shared" si="17"/>
        <v>-36.1459999999997</v>
      </c>
      <c r="AB86">
        <f t="shared" si="18"/>
        <v>286.513</v>
      </c>
    </row>
    <row r="87" spans="1:28">
      <c r="A87">
        <f t="shared" si="19"/>
        <v>86</v>
      </c>
      <c r="B87">
        <v>5621</v>
      </c>
      <c r="C87">
        <v>5445.59725838448</v>
      </c>
      <c r="D87">
        <v>5086.71657289444</v>
      </c>
      <c r="E87">
        <v>5410.627</v>
      </c>
      <c r="F87">
        <v>5822.33</v>
      </c>
      <c r="G87">
        <v>5621</v>
      </c>
      <c r="H87">
        <v>5417.333</v>
      </c>
      <c r="I87">
        <v>5770.116</v>
      </c>
      <c r="J87">
        <v>5738.574</v>
      </c>
      <c r="S87">
        <f t="shared" si="20"/>
        <v>86</v>
      </c>
      <c r="U87">
        <f t="shared" si="11"/>
        <v>175.40274161552</v>
      </c>
      <c r="V87">
        <f t="shared" si="12"/>
        <v>534.283427105564</v>
      </c>
      <c r="W87">
        <f t="shared" si="13"/>
        <v>210.373</v>
      </c>
      <c r="X87">
        <f t="shared" si="14"/>
        <v>-201.33</v>
      </c>
      <c r="Y87">
        <f t="shared" si="15"/>
        <v>0</v>
      </c>
      <c r="Z87">
        <f t="shared" si="16"/>
        <v>203.667</v>
      </c>
      <c r="AA87">
        <f t="shared" si="17"/>
        <v>-149.116</v>
      </c>
      <c r="AB87">
        <f t="shared" si="18"/>
        <v>-117.574</v>
      </c>
    </row>
    <row r="88" spans="1:28">
      <c r="A88">
        <f t="shared" si="19"/>
        <v>87</v>
      </c>
      <c r="B88">
        <v>5967</v>
      </c>
      <c r="C88">
        <v>5625.52495269251</v>
      </c>
      <c r="D88">
        <v>5210.41867506454</v>
      </c>
      <c r="E88">
        <v>5654.608</v>
      </c>
      <c r="F88">
        <v>6010.494</v>
      </c>
      <c r="G88">
        <v>5967</v>
      </c>
      <c r="H88">
        <v>6456.8</v>
      </c>
      <c r="I88">
        <v>5997.442</v>
      </c>
      <c r="J88">
        <v>6009.969</v>
      </c>
      <c r="S88">
        <f t="shared" si="20"/>
        <v>87</v>
      </c>
      <c r="U88">
        <f t="shared" si="11"/>
        <v>341.475047307487</v>
      </c>
      <c r="V88">
        <f t="shared" si="12"/>
        <v>756.581324935456</v>
      </c>
      <c r="W88">
        <f t="shared" si="13"/>
        <v>312.392</v>
      </c>
      <c r="X88">
        <f t="shared" si="14"/>
        <v>-43.4939999999997</v>
      </c>
      <c r="Y88">
        <f t="shared" si="15"/>
        <v>0</v>
      </c>
      <c r="Z88">
        <f t="shared" si="16"/>
        <v>-489.8</v>
      </c>
      <c r="AA88">
        <f t="shared" si="17"/>
        <v>-30.442</v>
      </c>
      <c r="AB88">
        <f t="shared" si="18"/>
        <v>-42.9690000000001</v>
      </c>
    </row>
    <row r="89" spans="1:28">
      <c r="A89">
        <f t="shared" si="19"/>
        <v>88</v>
      </c>
      <c r="B89">
        <v>6611</v>
      </c>
      <c r="C89">
        <v>5985.38034130858</v>
      </c>
      <c r="D89">
        <v>5443.9820455934</v>
      </c>
      <c r="E89">
        <v>6142.572</v>
      </c>
      <c r="F89">
        <v>6637.757</v>
      </c>
      <c r="G89">
        <v>6675.5</v>
      </c>
      <c r="H89">
        <v>6456.8</v>
      </c>
      <c r="I89">
        <v>6454.453</v>
      </c>
      <c r="J89">
        <v>6446.245</v>
      </c>
      <c r="S89">
        <f t="shared" si="20"/>
        <v>88</v>
      </c>
      <c r="U89">
        <f t="shared" si="11"/>
        <v>625.619658691419</v>
      </c>
      <c r="V89">
        <f t="shared" si="12"/>
        <v>1167.0179544066</v>
      </c>
      <c r="W89">
        <f t="shared" si="13"/>
        <v>468.428</v>
      </c>
      <c r="X89">
        <f t="shared" si="14"/>
        <v>-26.7569999999996</v>
      </c>
      <c r="Y89">
        <f t="shared" si="15"/>
        <v>-64.5</v>
      </c>
      <c r="Z89">
        <f t="shared" si="16"/>
        <v>154.2</v>
      </c>
      <c r="AA89">
        <f t="shared" si="17"/>
        <v>156.547</v>
      </c>
      <c r="AB89">
        <f t="shared" si="18"/>
        <v>164.755</v>
      </c>
    </row>
    <row r="90" spans="1:28">
      <c r="A90">
        <f t="shared" si="19"/>
        <v>89</v>
      </c>
      <c r="B90">
        <v>6647</v>
      </c>
      <c r="C90">
        <v>6165.30803561662</v>
      </c>
      <c r="D90">
        <v>5554.67541569085</v>
      </c>
      <c r="E90">
        <v>6386.554</v>
      </c>
      <c r="F90">
        <v>6683.92</v>
      </c>
      <c r="G90">
        <v>6675.5</v>
      </c>
      <c r="H90">
        <v>6456.8</v>
      </c>
      <c r="I90">
        <v>6630.315</v>
      </c>
      <c r="J90">
        <v>6608.369</v>
      </c>
      <c r="S90">
        <f t="shared" si="20"/>
        <v>89</v>
      </c>
      <c r="U90">
        <f t="shared" si="11"/>
        <v>481.691964383384</v>
      </c>
      <c r="V90">
        <f t="shared" si="12"/>
        <v>1092.32458430915</v>
      </c>
      <c r="W90">
        <f t="shared" si="13"/>
        <v>260.446</v>
      </c>
      <c r="X90">
        <f t="shared" si="14"/>
        <v>-36.9200000000001</v>
      </c>
      <c r="Y90">
        <f t="shared" si="15"/>
        <v>-28.5</v>
      </c>
      <c r="Z90">
        <f t="shared" si="16"/>
        <v>190.2</v>
      </c>
      <c r="AA90">
        <f t="shared" si="17"/>
        <v>16.6850000000004</v>
      </c>
      <c r="AB90">
        <f t="shared" si="18"/>
        <v>38.6310000000003</v>
      </c>
    </row>
    <row r="91" spans="1:28">
      <c r="A91">
        <f t="shared" si="19"/>
        <v>90</v>
      </c>
      <c r="B91">
        <v>6688</v>
      </c>
      <c r="C91">
        <v>6345.23572992465</v>
      </c>
      <c r="D91">
        <v>5661.76942241001</v>
      </c>
      <c r="E91">
        <v>6630.536</v>
      </c>
      <c r="F91">
        <v>6687.015</v>
      </c>
      <c r="G91">
        <v>6675.5</v>
      </c>
      <c r="H91">
        <v>6456.8</v>
      </c>
      <c r="I91">
        <v>6740.542</v>
      </c>
      <c r="J91">
        <v>6732.73</v>
      </c>
      <c r="S91">
        <f t="shared" si="20"/>
        <v>90</v>
      </c>
      <c r="U91">
        <f t="shared" si="11"/>
        <v>342.764270075351</v>
      </c>
      <c r="V91">
        <f t="shared" si="12"/>
        <v>1026.23057758999</v>
      </c>
      <c r="W91">
        <f t="shared" si="13"/>
        <v>57.4639999999999</v>
      </c>
      <c r="X91">
        <f t="shared" si="14"/>
        <v>0.984999999999673</v>
      </c>
      <c r="Y91">
        <f t="shared" si="15"/>
        <v>12.5</v>
      </c>
      <c r="Z91">
        <f t="shared" si="16"/>
        <v>231.2</v>
      </c>
      <c r="AA91">
        <f t="shared" si="17"/>
        <v>-52.5420000000004</v>
      </c>
      <c r="AB91">
        <f t="shared" si="18"/>
        <v>-44.7299999999996</v>
      </c>
    </row>
    <row r="92" spans="1:28">
      <c r="A92">
        <f t="shared" si="19"/>
        <v>91</v>
      </c>
      <c r="B92">
        <v>6756</v>
      </c>
      <c r="C92">
        <v>6705.09111854072</v>
      </c>
      <c r="D92">
        <v>5866.27823809882</v>
      </c>
      <c r="E92">
        <v>7118.5</v>
      </c>
      <c r="F92">
        <v>6752.956</v>
      </c>
      <c r="G92">
        <v>6675.5</v>
      </c>
      <c r="H92">
        <v>6456.8</v>
      </c>
      <c r="I92">
        <v>6757.037</v>
      </c>
      <c r="J92">
        <v>6871.627</v>
      </c>
      <c r="S92">
        <f t="shared" si="20"/>
        <v>91</v>
      </c>
      <c r="U92">
        <f t="shared" si="11"/>
        <v>50.9088814592833</v>
      </c>
      <c r="V92">
        <f t="shared" si="12"/>
        <v>889.721761901178</v>
      </c>
      <c r="W92">
        <f t="shared" si="13"/>
        <v>-362.5</v>
      </c>
      <c r="X92">
        <f t="shared" si="14"/>
        <v>3.04399999999987</v>
      </c>
      <c r="Y92">
        <f t="shared" si="15"/>
        <v>80.5</v>
      </c>
      <c r="Z92">
        <f t="shared" si="16"/>
        <v>299.2</v>
      </c>
      <c r="AA92">
        <f t="shared" si="17"/>
        <v>-1.03700000000026</v>
      </c>
      <c r="AB92">
        <f t="shared" si="18"/>
        <v>-115.627</v>
      </c>
    </row>
    <row r="93" spans="1:28">
      <c r="A93">
        <f t="shared" si="19"/>
        <v>92</v>
      </c>
      <c r="B93">
        <v>2097</v>
      </c>
      <c r="C93">
        <v>1251.40575300331</v>
      </c>
      <c r="D93">
        <v>1057.42262153918</v>
      </c>
      <c r="E93">
        <v>1887.65</v>
      </c>
      <c r="F93">
        <v>2025.117</v>
      </c>
      <c r="G93">
        <v>2150.556</v>
      </c>
      <c r="H93">
        <v>2141.5</v>
      </c>
      <c r="I93">
        <v>2112.233</v>
      </c>
      <c r="J93">
        <v>2061.251</v>
      </c>
      <c r="S93">
        <f t="shared" si="20"/>
        <v>92</v>
      </c>
      <c r="U93">
        <f t="shared" si="11"/>
        <v>845.594246996693</v>
      </c>
      <c r="V93">
        <f t="shared" si="12"/>
        <v>1039.57737846082</v>
      </c>
      <c r="W93">
        <f t="shared" si="13"/>
        <v>209.35</v>
      </c>
      <c r="X93">
        <f t="shared" si="14"/>
        <v>71.883</v>
      </c>
      <c r="Y93">
        <f t="shared" si="15"/>
        <v>-53.556</v>
      </c>
      <c r="Z93">
        <f t="shared" si="16"/>
        <v>-44.5</v>
      </c>
      <c r="AA93">
        <f t="shared" si="17"/>
        <v>-15.2330000000002</v>
      </c>
      <c r="AB93">
        <f t="shared" si="18"/>
        <v>35.7489999999998</v>
      </c>
    </row>
    <row r="94" spans="1:28">
      <c r="A94">
        <f t="shared" si="19"/>
        <v>93</v>
      </c>
      <c r="B94">
        <v>2112</v>
      </c>
      <c r="C94">
        <v>1611.26114161937</v>
      </c>
      <c r="D94">
        <v>1368.74308175314</v>
      </c>
      <c r="E94">
        <v>2005.058</v>
      </c>
      <c r="F94">
        <v>2222.741</v>
      </c>
      <c r="G94">
        <v>2150.556</v>
      </c>
      <c r="H94">
        <v>2141.5</v>
      </c>
      <c r="I94">
        <v>2104.629</v>
      </c>
      <c r="J94">
        <v>2095.465</v>
      </c>
      <c r="S94">
        <f t="shared" si="20"/>
        <v>93</v>
      </c>
      <c r="U94">
        <f t="shared" si="11"/>
        <v>500.738858380626</v>
      </c>
      <c r="V94">
        <f t="shared" si="12"/>
        <v>743.256918246855</v>
      </c>
      <c r="W94">
        <f t="shared" si="13"/>
        <v>106.942</v>
      </c>
      <c r="X94">
        <f t="shared" si="14"/>
        <v>-110.741</v>
      </c>
      <c r="Y94">
        <f t="shared" si="15"/>
        <v>-38.556</v>
      </c>
      <c r="Z94">
        <f t="shared" si="16"/>
        <v>-29.5</v>
      </c>
      <c r="AA94">
        <f t="shared" si="17"/>
        <v>7.37100000000009</v>
      </c>
      <c r="AB94">
        <f t="shared" si="18"/>
        <v>16.5349999999999</v>
      </c>
    </row>
    <row r="95" spans="1:28">
      <c r="A95">
        <f t="shared" si="19"/>
        <v>94</v>
      </c>
      <c r="B95">
        <v>2113</v>
      </c>
      <c r="C95">
        <v>1791.18883592741</v>
      </c>
      <c r="D95">
        <v>1487.30998614218</v>
      </c>
      <c r="E95">
        <v>2063.762</v>
      </c>
      <c r="F95">
        <v>2129.214</v>
      </c>
      <c r="G95">
        <v>2150.556</v>
      </c>
      <c r="H95">
        <v>2141.5</v>
      </c>
      <c r="I95">
        <v>2113.917</v>
      </c>
      <c r="J95">
        <v>2113.5</v>
      </c>
      <c r="S95">
        <f t="shared" si="20"/>
        <v>94</v>
      </c>
      <c r="U95">
        <f t="shared" si="11"/>
        <v>321.811164072592</v>
      </c>
      <c r="V95">
        <f t="shared" si="12"/>
        <v>625.690013857821</v>
      </c>
      <c r="W95">
        <f t="shared" si="13"/>
        <v>49.2379999999998</v>
      </c>
      <c r="X95">
        <f t="shared" si="14"/>
        <v>-16.2139999999999</v>
      </c>
      <c r="Y95">
        <f t="shared" si="15"/>
        <v>-37.556</v>
      </c>
      <c r="Z95">
        <f t="shared" si="16"/>
        <v>-28.5</v>
      </c>
      <c r="AA95">
        <f t="shared" si="17"/>
        <v>-0.916999999999916</v>
      </c>
      <c r="AB95">
        <f t="shared" si="18"/>
        <v>-0.5</v>
      </c>
    </row>
    <row r="96" spans="1:28">
      <c r="A96">
        <f t="shared" si="19"/>
        <v>95</v>
      </c>
      <c r="B96">
        <v>2142</v>
      </c>
      <c r="C96">
        <v>2151.04422454348</v>
      </c>
      <c r="D96">
        <v>1685.79553701444</v>
      </c>
      <c r="E96">
        <v>2181.17</v>
      </c>
      <c r="F96">
        <v>2096.567</v>
      </c>
      <c r="G96">
        <v>2150.556</v>
      </c>
      <c r="H96">
        <v>2141.5</v>
      </c>
      <c r="I96">
        <v>2139.4</v>
      </c>
      <c r="J96">
        <v>2148.428</v>
      </c>
      <c r="S96">
        <f t="shared" si="20"/>
        <v>95</v>
      </c>
      <c r="U96">
        <f t="shared" si="11"/>
        <v>-9.04422454347605</v>
      </c>
      <c r="V96">
        <f t="shared" si="12"/>
        <v>456.204462985565</v>
      </c>
      <c r="W96">
        <f t="shared" si="13"/>
        <v>-39.1700000000001</v>
      </c>
      <c r="X96">
        <f t="shared" si="14"/>
        <v>45.433</v>
      </c>
      <c r="Y96">
        <f t="shared" si="15"/>
        <v>-8.55600000000004</v>
      </c>
      <c r="Z96">
        <f t="shared" si="16"/>
        <v>0.5</v>
      </c>
      <c r="AA96">
        <f t="shared" si="17"/>
        <v>2.59999999999991</v>
      </c>
      <c r="AB96">
        <f t="shared" si="18"/>
        <v>-6.42799999999988</v>
      </c>
    </row>
    <row r="97" spans="1:28">
      <c r="A97">
        <f t="shared" si="19"/>
        <v>96</v>
      </c>
      <c r="B97">
        <v>2149</v>
      </c>
      <c r="C97">
        <v>2330.97191885151</v>
      </c>
      <c r="D97">
        <v>1771.72077245719</v>
      </c>
      <c r="E97">
        <v>2239.874</v>
      </c>
      <c r="F97">
        <v>2168.494</v>
      </c>
      <c r="G97">
        <v>2150.556</v>
      </c>
      <c r="H97">
        <v>2141.5</v>
      </c>
      <c r="I97">
        <v>2151.437</v>
      </c>
      <c r="J97">
        <v>2164.614</v>
      </c>
      <c r="S97">
        <f t="shared" si="20"/>
        <v>96</v>
      </c>
      <c r="U97">
        <f t="shared" si="11"/>
        <v>-181.97191885151</v>
      </c>
      <c r="V97">
        <f t="shared" si="12"/>
        <v>377.279227542815</v>
      </c>
      <c r="W97">
        <f t="shared" si="13"/>
        <v>-90.8739999999998</v>
      </c>
      <c r="X97">
        <f t="shared" si="14"/>
        <v>-19.4940000000001</v>
      </c>
      <c r="Y97">
        <f t="shared" si="15"/>
        <v>-1.55600000000004</v>
      </c>
      <c r="Z97">
        <f t="shared" si="16"/>
        <v>7.5</v>
      </c>
      <c r="AA97">
        <f t="shared" si="17"/>
        <v>-2.4369999999999</v>
      </c>
      <c r="AB97">
        <f t="shared" si="18"/>
        <v>-15.614</v>
      </c>
    </row>
    <row r="98" spans="1:28">
      <c r="A98">
        <f t="shared" si="19"/>
        <v>97</v>
      </c>
      <c r="B98">
        <v>2159</v>
      </c>
      <c r="C98">
        <v>2510.89961315954</v>
      </c>
      <c r="D98">
        <v>1851.14031646263</v>
      </c>
      <c r="E98">
        <v>2298.578</v>
      </c>
      <c r="F98">
        <v>2166.335</v>
      </c>
      <c r="G98">
        <v>2150.556</v>
      </c>
      <c r="H98">
        <v>2141.5</v>
      </c>
      <c r="I98">
        <v>2162.726</v>
      </c>
      <c r="J98">
        <v>2179.785</v>
      </c>
      <c r="S98">
        <f t="shared" si="20"/>
        <v>97</v>
      </c>
      <c r="U98">
        <f t="shared" si="11"/>
        <v>-351.899613159544</v>
      </c>
      <c r="V98">
        <f t="shared" si="12"/>
        <v>307.859683537368</v>
      </c>
      <c r="W98">
        <f t="shared" si="13"/>
        <v>-139.578</v>
      </c>
      <c r="X98">
        <f t="shared" si="14"/>
        <v>-7.33500000000004</v>
      </c>
      <c r="Y98">
        <f t="shared" si="15"/>
        <v>8.44399999999996</v>
      </c>
      <c r="Z98">
        <f t="shared" si="16"/>
        <v>17.5</v>
      </c>
      <c r="AA98">
        <f t="shared" si="17"/>
        <v>-3.72600000000011</v>
      </c>
      <c r="AB98">
        <f t="shared" si="18"/>
        <v>-20.7849999999999</v>
      </c>
    </row>
    <row r="99" spans="1:28">
      <c r="A99">
        <f t="shared" si="19"/>
        <v>98</v>
      </c>
      <c r="B99">
        <v>2178</v>
      </c>
      <c r="C99">
        <v>2690.82730746758</v>
      </c>
      <c r="D99">
        <v>1925.19548238078</v>
      </c>
      <c r="E99">
        <v>2357.282</v>
      </c>
      <c r="F99">
        <v>2271.518</v>
      </c>
      <c r="G99">
        <v>2150.556</v>
      </c>
      <c r="H99">
        <v>2141.5</v>
      </c>
      <c r="I99">
        <v>2174.335</v>
      </c>
      <c r="J99">
        <v>2194.052</v>
      </c>
      <c r="S99">
        <f t="shared" si="20"/>
        <v>98</v>
      </c>
      <c r="U99">
        <f t="shared" si="11"/>
        <v>-512.827307467578</v>
      </c>
      <c r="V99">
        <f t="shared" si="12"/>
        <v>252.804517619215</v>
      </c>
      <c r="W99">
        <f t="shared" si="13"/>
        <v>-179.282</v>
      </c>
      <c r="X99">
        <f t="shared" si="14"/>
        <v>-93.518</v>
      </c>
      <c r="Y99">
        <f t="shared" si="15"/>
        <v>27.444</v>
      </c>
      <c r="Z99">
        <f t="shared" si="16"/>
        <v>36.5</v>
      </c>
      <c r="AA99">
        <f t="shared" si="17"/>
        <v>3.66499999999996</v>
      </c>
      <c r="AB99">
        <f t="shared" si="18"/>
        <v>-16.0520000000001</v>
      </c>
    </row>
    <row r="100" spans="1:28">
      <c r="A100">
        <f t="shared" si="19"/>
        <v>99</v>
      </c>
      <c r="B100">
        <v>2182</v>
      </c>
      <c r="C100">
        <v>2870.75500177561</v>
      </c>
      <c r="D100">
        <v>1994.73548281117</v>
      </c>
      <c r="E100">
        <v>2415.986</v>
      </c>
      <c r="F100">
        <v>2434.032</v>
      </c>
      <c r="G100">
        <v>2150.556</v>
      </c>
      <c r="H100">
        <v>2141.5</v>
      </c>
      <c r="I100">
        <v>2187.638</v>
      </c>
      <c r="J100">
        <v>2207.709</v>
      </c>
      <c r="S100">
        <f t="shared" si="20"/>
        <v>99</v>
      </c>
      <c r="U100">
        <f t="shared" si="11"/>
        <v>-688.755001775612</v>
      </c>
      <c r="V100">
        <f t="shared" si="12"/>
        <v>187.264517188828</v>
      </c>
      <c r="W100">
        <f t="shared" si="13"/>
        <v>-233.986</v>
      </c>
      <c r="X100">
        <f t="shared" si="14"/>
        <v>-252.032</v>
      </c>
      <c r="Y100">
        <f t="shared" si="15"/>
        <v>31.444</v>
      </c>
      <c r="Z100">
        <f t="shared" si="16"/>
        <v>40.5</v>
      </c>
      <c r="AA100">
        <f t="shared" si="17"/>
        <v>-5.63799999999992</v>
      </c>
      <c r="AB100">
        <f t="shared" si="18"/>
        <v>-25.7089999999998</v>
      </c>
    </row>
    <row r="101" spans="1:28">
      <c r="A101">
        <f t="shared" si="19"/>
        <v>100</v>
      </c>
      <c r="B101">
        <v>2223</v>
      </c>
      <c r="C101">
        <v>3230.61039039168</v>
      </c>
      <c r="D101">
        <v>2122.73556240236</v>
      </c>
      <c r="E101">
        <v>2533.394</v>
      </c>
      <c r="F101">
        <v>2200.483</v>
      </c>
      <c r="G101">
        <v>2150.556</v>
      </c>
      <c r="H101">
        <v>2366</v>
      </c>
      <c r="I101">
        <v>2223.551</v>
      </c>
      <c r="J101">
        <v>2235.166</v>
      </c>
      <c r="S101">
        <f t="shared" si="20"/>
        <v>100</v>
      </c>
      <c r="U101">
        <f t="shared" si="11"/>
        <v>-1007.61039039168</v>
      </c>
      <c r="V101">
        <f t="shared" si="12"/>
        <v>100.26443759764</v>
      </c>
      <c r="W101">
        <f t="shared" si="13"/>
        <v>-310.394</v>
      </c>
      <c r="X101">
        <f t="shared" si="14"/>
        <v>22.5169999999998</v>
      </c>
      <c r="Y101">
        <f t="shared" si="15"/>
        <v>72.444</v>
      </c>
      <c r="Z101">
        <f t="shared" si="16"/>
        <v>-143</v>
      </c>
      <c r="AA101">
        <f t="shared" si="17"/>
        <v>-0.550999999999931</v>
      </c>
      <c r="AB101">
        <f t="shared" si="18"/>
        <v>-12.1660000000002</v>
      </c>
    </row>
    <row r="102" spans="1:28">
      <c r="A102">
        <f t="shared" si="19"/>
        <v>101</v>
      </c>
      <c r="B102">
        <v>2298</v>
      </c>
      <c r="C102">
        <v>3770.39347331578</v>
      </c>
      <c r="D102">
        <v>2293.34090334596</v>
      </c>
      <c r="E102">
        <v>2709.506</v>
      </c>
      <c r="F102">
        <v>2418.298</v>
      </c>
      <c r="G102">
        <v>2389.833</v>
      </c>
      <c r="H102">
        <v>2366</v>
      </c>
      <c r="I102">
        <v>2300.741</v>
      </c>
      <c r="J102">
        <v>2287.153</v>
      </c>
      <c r="S102">
        <f t="shared" si="20"/>
        <v>101</v>
      </c>
      <c r="U102">
        <f t="shared" si="11"/>
        <v>-1472.39347331578</v>
      </c>
      <c r="V102">
        <f t="shared" si="12"/>
        <v>4.65909665404479</v>
      </c>
      <c r="W102">
        <f t="shared" si="13"/>
        <v>-411.506</v>
      </c>
      <c r="X102">
        <f t="shared" si="14"/>
        <v>-120.298</v>
      </c>
      <c r="Y102">
        <f t="shared" si="15"/>
        <v>-91.8330000000001</v>
      </c>
      <c r="Z102">
        <f t="shared" si="16"/>
        <v>-68</v>
      </c>
      <c r="AA102">
        <f t="shared" si="17"/>
        <v>-2.74099999999999</v>
      </c>
      <c r="AB102">
        <f t="shared" si="18"/>
        <v>10.8470000000002</v>
      </c>
    </row>
    <row r="103" spans="1:28">
      <c r="A103">
        <f t="shared" si="19"/>
        <v>102</v>
      </c>
      <c r="B103">
        <v>2312</v>
      </c>
      <c r="C103">
        <v>3950.32116762381</v>
      </c>
      <c r="D103">
        <v>2345.69136873258</v>
      </c>
      <c r="E103">
        <v>2768.21</v>
      </c>
      <c r="F103">
        <v>2435.382</v>
      </c>
      <c r="G103">
        <v>2389.833</v>
      </c>
      <c r="H103">
        <v>2366</v>
      </c>
      <c r="I103">
        <v>2328.677</v>
      </c>
      <c r="J103">
        <v>2310.574</v>
      </c>
      <c r="S103">
        <f t="shared" si="20"/>
        <v>102</v>
      </c>
      <c r="U103">
        <f t="shared" si="11"/>
        <v>-1638.32116762381</v>
      </c>
      <c r="V103">
        <f t="shared" si="12"/>
        <v>-33.6913687325814</v>
      </c>
      <c r="W103">
        <f t="shared" si="13"/>
        <v>-456.21</v>
      </c>
      <c r="X103">
        <f t="shared" si="14"/>
        <v>-123.382</v>
      </c>
      <c r="Y103">
        <f t="shared" si="15"/>
        <v>-77.8330000000001</v>
      </c>
      <c r="Z103">
        <f t="shared" si="16"/>
        <v>-54</v>
      </c>
      <c r="AA103">
        <f t="shared" si="17"/>
        <v>-16.6770000000001</v>
      </c>
      <c r="AB103">
        <f t="shared" si="18"/>
        <v>1.42599999999993</v>
      </c>
    </row>
    <row r="104" spans="1:28">
      <c r="A104">
        <f t="shared" si="19"/>
        <v>103</v>
      </c>
      <c r="B104">
        <v>2375</v>
      </c>
      <c r="C104">
        <v>4130.24886193185</v>
      </c>
      <c r="D104">
        <v>2396.14270576552</v>
      </c>
      <c r="E104">
        <v>2826.914</v>
      </c>
      <c r="F104">
        <v>2401.092</v>
      </c>
      <c r="G104">
        <v>2389.833</v>
      </c>
      <c r="H104">
        <v>2366</v>
      </c>
      <c r="I104">
        <v>2356.017</v>
      </c>
      <c r="J104">
        <v>2338.377</v>
      </c>
      <c r="S104">
        <f t="shared" si="20"/>
        <v>103</v>
      </c>
      <c r="U104">
        <f t="shared" si="11"/>
        <v>-1755.24886193185</v>
      </c>
      <c r="V104">
        <f t="shared" si="12"/>
        <v>-21.1427057655173</v>
      </c>
      <c r="W104">
        <f t="shared" si="13"/>
        <v>-451.914</v>
      </c>
      <c r="X104">
        <f t="shared" si="14"/>
        <v>-26.0920000000001</v>
      </c>
      <c r="Y104">
        <f t="shared" si="15"/>
        <v>-14.8330000000001</v>
      </c>
      <c r="Z104">
        <f t="shared" si="16"/>
        <v>9</v>
      </c>
      <c r="AA104">
        <f t="shared" si="17"/>
        <v>18.9830000000002</v>
      </c>
      <c r="AB104">
        <f t="shared" si="18"/>
        <v>36.623</v>
      </c>
    </row>
    <row r="105" spans="1:28">
      <c r="A105">
        <f t="shared" si="19"/>
        <v>104</v>
      </c>
      <c r="B105">
        <v>2420</v>
      </c>
      <c r="C105">
        <v>4490.10425054792</v>
      </c>
      <c r="D105">
        <v>2492.00077987311</v>
      </c>
      <c r="E105">
        <v>2944.322</v>
      </c>
      <c r="F105">
        <v>2331.613</v>
      </c>
      <c r="G105">
        <v>2389.833</v>
      </c>
      <c r="H105">
        <v>2366</v>
      </c>
      <c r="I105">
        <v>2414.052</v>
      </c>
      <c r="J105">
        <v>2409.859</v>
      </c>
      <c r="S105">
        <f t="shared" si="20"/>
        <v>104</v>
      </c>
      <c r="U105">
        <f t="shared" si="11"/>
        <v>-2070.10425054792</v>
      </c>
      <c r="V105">
        <f t="shared" si="12"/>
        <v>-72.0007798731144</v>
      </c>
      <c r="W105">
        <f t="shared" si="13"/>
        <v>-524.322</v>
      </c>
      <c r="X105">
        <f t="shared" si="14"/>
        <v>88.3870000000002</v>
      </c>
      <c r="Y105">
        <f t="shared" si="15"/>
        <v>30.1669999999999</v>
      </c>
      <c r="Z105">
        <f t="shared" si="16"/>
        <v>54</v>
      </c>
      <c r="AA105">
        <f t="shared" si="17"/>
        <v>5.94799999999987</v>
      </c>
      <c r="AB105">
        <f t="shared" si="18"/>
        <v>10.1410000000001</v>
      </c>
    </row>
    <row r="106" spans="1:28">
      <c r="A106">
        <f t="shared" si="19"/>
        <v>105</v>
      </c>
      <c r="B106">
        <v>2450</v>
      </c>
      <c r="C106">
        <v>4670.03194485595</v>
      </c>
      <c r="D106">
        <v>2537.68049113481</v>
      </c>
      <c r="E106">
        <v>3003.026</v>
      </c>
      <c r="F106">
        <v>2497.817</v>
      </c>
      <c r="G106">
        <v>2389.833</v>
      </c>
      <c r="H106">
        <v>2366</v>
      </c>
      <c r="I106">
        <v>2452.272</v>
      </c>
      <c r="J106">
        <v>2454.6</v>
      </c>
      <c r="S106">
        <f t="shared" si="20"/>
        <v>105</v>
      </c>
      <c r="U106">
        <f t="shared" si="11"/>
        <v>-2220.03194485595</v>
      </c>
      <c r="V106">
        <f t="shared" si="12"/>
        <v>-87.6804911348067</v>
      </c>
      <c r="W106">
        <f t="shared" si="13"/>
        <v>-553.026</v>
      </c>
      <c r="X106">
        <f t="shared" si="14"/>
        <v>-47.817</v>
      </c>
      <c r="Y106">
        <f t="shared" si="15"/>
        <v>60.1669999999999</v>
      </c>
      <c r="Z106">
        <f t="shared" si="16"/>
        <v>84</v>
      </c>
      <c r="AA106">
        <f t="shared" si="17"/>
        <v>-2.27199999999993</v>
      </c>
      <c r="AB106">
        <f t="shared" si="18"/>
        <v>-4.59999999999991</v>
      </c>
    </row>
    <row r="107" spans="1:28">
      <c r="A107">
        <f t="shared" si="19"/>
        <v>106</v>
      </c>
      <c r="B107">
        <v>2484</v>
      </c>
      <c r="C107">
        <v>4849.95963916398</v>
      </c>
      <c r="D107">
        <v>2582.01435869712</v>
      </c>
      <c r="E107">
        <v>3061.73</v>
      </c>
      <c r="F107">
        <v>2616.204</v>
      </c>
      <c r="G107">
        <v>2389.833</v>
      </c>
      <c r="H107">
        <v>2366</v>
      </c>
      <c r="I107">
        <v>2503.362</v>
      </c>
      <c r="J107">
        <v>2505.796</v>
      </c>
      <c r="S107">
        <f t="shared" si="20"/>
        <v>106</v>
      </c>
      <c r="U107">
        <f t="shared" si="11"/>
        <v>-2365.95963916398</v>
      </c>
      <c r="V107">
        <f t="shared" si="12"/>
        <v>-98.0143586971199</v>
      </c>
      <c r="W107">
        <f t="shared" si="13"/>
        <v>-577.73</v>
      </c>
      <c r="X107">
        <f t="shared" si="14"/>
        <v>-132.204</v>
      </c>
      <c r="Y107">
        <f t="shared" si="15"/>
        <v>94.1669999999999</v>
      </c>
      <c r="Z107">
        <f t="shared" si="16"/>
        <v>118</v>
      </c>
      <c r="AA107">
        <f t="shared" si="17"/>
        <v>-19.3620000000001</v>
      </c>
      <c r="AB107">
        <f t="shared" si="18"/>
        <v>-21.7959999999998</v>
      </c>
    </row>
    <row r="108" spans="1:28">
      <c r="A108">
        <f t="shared" si="19"/>
        <v>107</v>
      </c>
      <c r="B108">
        <v>450</v>
      </c>
      <c r="C108">
        <v>-2198.93609747799</v>
      </c>
      <c r="D108">
        <v>413.462438755946</v>
      </c>
      <c r="E108">
        <v>-248.341</v>
      </c>
      <c r="F108">
        <v>521.506</v>
      </c>
      <c r="G108">
        <v>576.333</v>
      </c>
      <c r="H108">
        <v>540.333</v>
      </c>
      <c r="I108">
        <v>486.059</v>
      </c>
      <c r="J108">
        <v>505.925</v>
      </c>
      <c r="S108">
        <f t="shared" si="20"/>
        <v>107</v>
      </c>
      <c r="U108">
        <f t="shared" si="11"/>
        <v>2648.93609747799</v>
      </c>
      <c r="V108">
        <f t="shared" si="12"/>
        <v>36.5375612440542</v>
      </c>
      <c r="W108">
        <f t="shared" si="13"/>
        <v>698.341</v>
      </c>
      <c r="X108">
        <f t="shared" si="14"/>
        <v>-71.506</v>
      </c>
      <c r="Y108">
        <f t="shared" si="15"/>
        <v>-126.333</v>
      </c>
      <c r="Z108">
        <f t="shared" si="16"/>
        <v>-90.333</v>
      </c>
      <c r="AA108">
        <f t="shared" si="17"/>
        <v>-36.059</v>
      </c>
      <c r="AB108">
        <f t="shared" si="18"/>
        <v>-55.925</v>
      </c>
    </row>
    <row r="109" spans="1:28">
      <c r="A109">
        <f t="shared" si="19"/>
        <v>108</v>
      </c>
      <c r="B109">
        <v>470</v>
      </c>
      <c r="C109">
        <v>-2019.00840316996</v>
      </c>
      <c r="D109">
        <v>535.191739881854</v>
      </c>
      <c r="E109">
        <v>-189.637</v>
      </c>
      <c r="F109">
        <v>554.084</v>
      </c>
      <c r="G109">
        <v>576.333</v>
      </c>
      <c r="H109">
        <v>540.333</v>
      </c>
      <c r="I109">
        <v>458.6</v>
      </c>
      <c r="J109">
        <v>497.837</v>
      </c>
      <c r="S109">
        <f t="shared" si="20"/>
        <v>108</v>
      </c>
      <c r="U109">
        <f t="shared" si="11"/>
        <v>2489.00840316996</v>
      </c>
      <c r="V109">
        <f t="shared" si="12"/>
        <v>-65.1917398818537</v>
      </c>
      <c r="W109">
        <f t="shared" si="13"/>
        <v>659.637</v>
      </c>
      <c r="X109">
        <f t="shared" si="14"/>
        <v>-84.0839999999999</v>
      </c>
      <c r="Y109">
        <f t="shared" si="15"/>
        <v>-106.333</v>
      </c>
      <c r="Z109">
        <f t="shared" si="16"/>
        <v>-70.333</v>
      </c>
      <c r="AA109">
        <f t="shared" si="17"/>
        <v>11.4</v>
      </c>
      <c r="AB109">
        <f t="shared" si="18"/>
        <v>-27.837</v>
      </c>
    </row>
    <row r="110" spans="1:28">
      <c r="A110">
        <f t="shared" si="19"/>
        <v>109</v>
      </c>
      <c r="B110">
        <v>522</v>
      </c>
      <c r="C110">
        <v>-1479.22532024586</v>
      </c>
      <c r="D110">
        <v>752.769992823154</v>
      </c>
      <c r="E110">
        <v>-13.525</v>
      </c>
      <c r="F110">
        <v>589.276</v>
      </c>
      <c r="G110">
        <v>576.333</v>
      </c>
      <c r="H110">
        <v>540.333</v>
      </c>
      <c r="I110">
        <v>518.58</v>
      </c>
      <c r="J110">
        <v>515.563</v>
      </c>
      <c r="S110">
        <f t="shared" si="20"/>
        <v>109</v>
      </c>
      <c r="U110">
        <f t="shared" si="11"/>
        <v>2001.22532024586</v>
      </c>
      <c r="V110">
        <f t="shared" si="12"/>
        <v>-230.769992823154</v>
      </c>
      <c r="W110">
        <f t="shared" si="13"/>
        <v>535.525</v>
      </c>
      <c r="X110">
        <f t="shared" si="14"/>
        <v>-67.276</v>
      </c>
      <c r="Y110">
        <f t="shared" si="15"/>
        <v>-54.333</v>
      </c>
      <c r="Z110">
        <f t="shared" si="16"/>
        <v>-18.333</v>
      </c>
      <c r="AA110">
        <f t="shared" si="17"/>
        <v>3.41999999999996</v>
      </c>
      <c r="AB110">
        <f t="shared" si="18"/>
        <v>6.43700000000001</v>
      </c>
    </row>
    <row r="111" spans="1:28">
      <c r="A111">
        <f t="shared" si="19"/>
        <v>110</v>
      </c>
      <c r="B111">
        <v>590</v>
      </c>
      <c r="C111">
        <v>-1119.36993162979</v>
      </c>
      <c r="D111">
        <v>853.229189693849</v>
      </c>
      <c r="E111">
        <v>103.883</v>
      </c>
      <c r="F111">
        <v>627.029</v>
      </c>
      <c r="G111">
        <v>576.333</v>
      </c>
      <c r="H111">
        <v>540.333</v>
      </c>
      <c r="I111">
        <v>583.244</v>
      </c>
      <c r="J111">
        <v>549.66</v>
      </c>
      <c r="S111">
        <f t="shared" si="20"/>
        <v>110</v>
      </c>
      <c r="U111">
        <f t="shared" si="11"/>
        <v>1709.36993162979</v>
      </c>
      <c r="V111">
        <f t="shared" si="12"/>
        <v>-263.229189693849</v>
      </c>
      <c r="W111">
        <f t="shared" si="13"/>
        <v>486.117</v>
      </c>
      <c r="X111">
        <f t="shared" si="14"/>
        <v>-37.029</v>
      </c>
      <c r="Y111">
        <f t="shared" si="15"/>
        <v>13.667</v>
      </c>
      <c r="Z111">
        <f t="shared" si="16"/>
        <v>49.667</v>
      </c>
      <c r="AA111">
        <f t="shared" si="17"/>
        <v>6.75599999999997</v>
      </c>
      <c r="AB111">
        <f t="shared" si="18"/>
        <v>40.34</v>
      </c>
    </row>
    <row r="112" spans="1:28">
      <c r="A112">
        <f t="shared" si="19"/>
        <v>111</v>
      </c>
      <c r="B112">
        <v>598</v>
      </c>
      <c r="C112">
        <v>-939.442237321758</v>
      </c>
      <c r="D112">
        <v>896.718401405081</v>
      </c>
      <c r="E112">
        <v>162.587</v>
      </c>
      <c r="F112">
        <v>733.911</v>
      </c>
      <c r="G112">
        <v>576.333</v>
      </c>
      <c r="H112">
        <v>540.333</v>
      </c>
      <c r="I112">
        <v>605.209</v>
      </c>
      <c r="J112">
        <v>569.751</v>
      </c>
      <c r="S112">
        <f t="shared" si="20"/>
        <v>111</v>
      </c>
      <c r="U112">
        <f t="shared" si="11"/>
        <v>1537.44223732176</v>
      </c>
      <c r="V112">
        <f t="shared" si="12"/>
        <v>-298.718401405081</v>
      </c>
      <c r="W112">
        <f t="shared" si="13"/>
        <v>435.413</v>
      </c>
      <c r="X112">
        <f t="shared" si="14"/>
        <v>-135.911</v>
      </c>
      <c r="Y112">
        <f t="shared" si="15"/>
        <v>21.667</v>
      </c>
      <c r="Z112">
        <f t="shared" si="16"/>
        <v>57.667</v>
      </c>
      <c r="AA112">
        <f t="shared" si="17"/>
        <v>-7.20899999999995</v>
      </c>
      <c r="AB112">
        <f t="shared" si="18"/>
        <v>28.249</v>
      </c>
    </row>
    <row r="113" spans="1:28">
      <c r="A113">
        <f t="shared" si="19"/>
        <v>112</v>
      </c>
      <c r="B113">
        <v>612</v>
      </c>
      <c r="C113">
        <v>-759.514543013724</v>
      </c>
      <c r="D113">
        <v>936.914897178009</v>
      </c>
      <c r="E113">
        <v>221.291</v>
      </c>
      <c r="F113">
        <v>737.842</v>
      </c>
      <c r="G113">
        <v>576.333</v>
      </c>
      <c r="H113">
        <v>540.333</v>
      </c>
      <c r="I113">
        <v>619.308</v>
      </c>
      <c r="J113">
        <v>590.494</v>
      </c>
      <c r="S113">
        <f t="shared" si="20"/>
        <v>112</v>
      </c>
      <c r="U113">
        <f t="shared" si="11"/>
        <v>1371.51454301372</v>
      </c>
      <c r="V113">
        <f t="shared" si="12"/>
        <v>-324.914897178009</v>
      </c>
      <c r="W113">
        <f t="shared" si="13"/>
        <v>390.709</v>
      </c>
      <c r="X113">
        <f t="shared" si="14"/>
        <v>-125.842</v>
      </c>
      <c r="Y113">
        <f t="shared" si="15"/>
        <v>35.667</v>
      </c>
      <c r="Z113">
        <f t="shared" si="16"/>
        <v>71.667</v>
      </c>
      <c r="AA113">
        <f t="shared" si="17"/>
        <v>-7.30799999999999</v>
      </c>
      <c r="AB113">
        <f t="shared" si="18"/>
        <v>21.506</v>
      </c>
    </row>
    <row r="114" spans="1:28">
      <c r="A114">
        <f t="shared" si="19"/>
        <v>113</v>
      </c>
      <c r="B114">
        <v>642</v>
      </c>
      <c r="C114">
        <v>-399.659154397656</v>
      </c>
      <c r="D114">
        <v>1009.59250530865</v>
      </c>
      <c r="E114">
        <v>338.699</v>
      </c>
      <c r="F114">
        <v>748.119</v>
      </c>
      <c r="G114">
        <v>576.333</v>
      </c>
      <c r="H114">
        <v>718.5</v>
      </c>
      <c r="I114">
        <v>633.349</v>
      </c>
      <c r="J114">
        <v>630.851</v>
      </c>
      <c r="S114">
        <f t="shared" si="20"/>
        <v>113</v>
      </c>
      <c r="U114">
        <f t="shared" si="11"/>
        <v>1041.65915439766</v>
      </c>
      <c r="V114">
        <f t="shared" si="12"/>
        <v>-367.59250530865</v>
      </c>
      <c r="W114">
        <f t="shared" si="13"/>
        <v>303.301</v>
      </c>
      <c r="X114">
        <f t="shared" si="14"/>
        <v>-106.119</v>
      </c>
      <c r="Y114">
        <f t="shared" si="15"/>
        <v>65.667</v>
      </c>
      <c r="Z114">
        <f t="shared" si="16"/>
        <v>-76.5</v>
      </c>
      <c r="AA114">
        <f t="shared" si="17"/>
        <v>8.65099999999995</v>
      </c>
      <c r="AB114">
        <f t="shared" si="18"/>
        <v>11.149</v>
      </c>
    </row>
    <row r="115" spans="1:28">
      <c r="A115">
        <f t="shared" si="19"/>
        <v>114</v>
      </c>
      <c r="B115">
        <v>649</v>
      </c>
      <c r="C115">
        <v>-39.8037657815876</v>
      </c>
      <c r="D115">
        <v>1074.37699535645</v>
      </c>
      <c r="E115">
        <v>456.107</v>
      </c>
      <c r="F115">
        <v>684.599</v>
      </c>
      <c r="G115">
        <v>576.333</v>
      </c>
      <c r="H115">
        <v>718.5</v>
      </c>
      <c r="I115">
        <v>651.831</v>
      </c>
      <c r="J115">
        <v>666.683</v>
      </c>
      <c r="S115">
        <f t="shared" si="20"/>
        <v>114</v>
      </c>
      <c r="U115">
        <f t="shared" si="11"/>
        <v>688.803765781588</v>
      </c>
      <c r="V115">
        <f t="shared" si="12"/>
        <v>-425.37699535645</v>
      </c>
      <c r="W115">
        <f t="shared" si="13"/>
        <v>192.893</v>
      </c>
      <c r="X115">
        <f t="shared" si="14"/>
        <v>-35.599</v>
      </c>
      <c r="Y115">
        <f t="shared" si="15"/>
        <v>72.667</v>
      </c>
      <c r="Z115">
        <f t="shared" si="16"/>
        <v>-69.5</v>
      </c>
      <c r="AA115">
        <f t="shared" si="17"/>
        <v>-2.83100000000002</v>
      </c>
      <c r="AB115">
        <f t="shared" si="18"/>
        <v>-17.683</v>
      </c>
    </row>
    <row r="116" spans="1:28">
      <c r="A116">
        <f t="shared" si="19"/>
        <v>115</v>
      </c>
      <c r="B116">
        <v>654</v>
      </c>
      <c r="C116">
        <v>140.123928526446</v>
      </c>
      <c r="D116">
        <v>1104.43216057112</v>
      </c>
      <c r="E116">
        <v>514.811</v>
      </c>
      <c r="F116">
        <v>724.568</v>
      </c>
      <c r="G116">
        <v>576.333</v>
      </c>
      <c r="H116">
        <v>718.5</v>
      </c>
      <c r="I116">
        <v>669.445</v>
      </c>
      <c r="J116">
        <v>682.636</v>
      </c>
      <c r="S116">
        <f t="shared" si="20"/>
        <v>115</v>
      </c>
      <c r="U116">
        <f t="shared" si="11"/>
        <v>513.876071473554</v>
      </c>
      <c r="V116">
        <f t="shared" si="12"/>
        <v>-450.432160571123</v>
      </c>
      <c r="W116">
        <f t="shared" si="13"/>
        <v>139.189</v>
      </c>
      <c r="X116">
        <f t="shared" si="14"/>
        <v>-70.568</v>
      </c>
      <c r="Y116">
        <f t="shared" si="15"/>
        <v>77.667</v>
      </c>
      <c r="Z116">
        <f t="shared" si="16"/>
        <v>-64.5</v>
      </c>
      <c r="AA116">
        <f t="shared" si="17"/>
        <v>-15.445</v>
      </c>
      <c r="AB116">
        <f t="shared" si="18"/>
        <v>-28.636</v>
      </c>
    </row>
    <row r="117" spans="1:28">
      <c r="A117">
        <f t="shared" si="19"/>
        <v>116</v>
      </c>
      <c r="B117">
        <v>710</v>
      </c>
      <c r="C117">
        <v>499.979317142514</v>
      </c>
      <c r="D117">
        <v>1160.72522301195</v>
      </c>
      <c r="E117">
        <v>632.219</v>
      </c>
      <c r="F117">
        <v>785.144</v>
      </c>
      <c r="G117">
        <v>760.6</v>
      </c>
      <c r="H117">
        <v>718.5</v>
      </c>
      <c r="I117">
        <v>716.583</v>
      </c>
      <c r="J117">
        <v>712.068</v>
      </c>
      <c r="S117">
        <f t="shared" si="20"/>
        <v>116</v>
      </c>
      <c r="U117">
        <f t="shared" si="11"/>
        <v>210.020682857486</v>
      </c>
      <c r="V117">
        <f t="shared" si="12"/>
        <v>-450.725223011949</v>
      </c>
      <c r="W117">
        <f t="shared" si="13"/>
        <v>77.7809999999999</v>
      </c>
      <c r="X117">
        <f t="shared" si="14"/>
        <v>-75.144</v>
      </c>
      <c r="Y117">
        <f t="shared" si="15"/>
        <v>-50.6</v>
      </c>
      <c r="Z117">
        <f t="shared" si="16"/>
        <v>-8.5</v>
      </c>
      <c r="AA117">
        <f t="shared" si="17"/>
        <v>-6.58299999999997</v>
      </c>
      <c r="AB117">
        <f t="shared" si="18"/>
        <v>-2.06799999999998</v>
      </c>
    </row>
    <row r="118" spans="1:28">
      <c r="A118">
        <f t="shared" si="19"/>
        <v>117</v>
      </c>
      <c r="B118">
        <v>756</v>
      </c>
      <c r="C118">
        <v>859.834705758581</v>
      </c>
      <c r="D118">
        <v>1212.75614648494</v>
      </c>
      <c r="E118">
        <v>749.627</v>
      </c>
      <c r="F118">
        <v>804.936</v>
      </c>
      <c r="G118">
        <v>760.6</v>
      </c>
      <c r="H118">
        <v>718.5</v>
      </c>
      <c r="I118">
        <v>751.856</v>
      </c>
      <c r="J118">
        <v>742.447</v>
      </c>
      <c r="S118">
        <f t="shared" si="20"/>
        <v>117</v>
      </c>
      <c r="U118">
        <f t="shared" si="11"/>
        <v>-103.834705758581</v>
      </c>
      <c r="V118">
        <f t="shared" si="12"/>
        <v>-456.756146484941</v>
      </c>
      <c r="W118">
        <f t="shared" si="13"/>
        <v>6.37300000000005</v>
      </c>
      <c r="X118">
        <f t="shared" si="14"/>
        <v>-48.936</v>
      </c>
      <c r="Y118">
        <f t="shared" si="15"/>
        <v>-4.60000000000002</v>
      </c>
      <c r="Z118">
        <f t="shared" si="16"/>
        <v>37.5</v>
      </c>
      <c r="AA118">
        <f t="shared" si="17"/>
        <v>4.14400000000001</v>
      </c>
      <c r="AB118">
        <f t="shared" si="18"/>
        <v>13.553</v>
      </c>
    </row>
    <row r="119" spans="1:28">
      <c r="A119">
        <f t="shared" si="19"/>
        <v>118</v>
      </c>
      <c r="B119">
        <v>776</v>
      </c>
      <c r="C119">
        <v>1039.76240006661</v>
      </c>
      <c r="D119">
        <v>1237.41531395399</v>
      </c>
      <c r="E119">
        <v>808.331</v>
      </c>
      <c r="F119">
        <v>761.595</v>
      </c>
      <c r="G119">
        <v>760.6</v>
      </c>
      <c r="H119">
        <v>718.5</v>
      </c>
      <c r="I119">
        <v>759.666</v>
      </c>
      <c r="J119">
        <v>760.148</v>
      </c>
      <c r="S119">
        <f t="shared" si="20"/>
        <v>118</v>
      </c>
      <c r="U119">
        <f t="shared" si="11"/>
        <v>-263.762400066615</v>
      </c>
      <c r="V119">
        <f t="shared" si="12"/>
        <v>-461.415313953995</v>
      </c>
      <c r="W119">
        <f t="shared" si="13"/>
        <v>-32.331</v>
      </c>
      <c r="X119">
        <f t="shared" si="14"/>
        <v>14.405</v>
      </c>
      <c r="Y119">
        <f t="shared" si="15"/>
        <v>15.4</v>
      </c>
      <c r="Z119">
        <f t="shared" si="16"/>
        <v>57.5</v>
      </c>
      <c r="AA119">
        <f t="shared" si="17"/>
        <v>16.3339999999999</v>
      </c>
      <c r="AB119">
        <f t="shared" si="18"/>
        <v>15.852</v>
      </c>
    </row>
    <row r="120" spans="1:28">
      <c r="A120">
        <f t="shared" si="19"/>
        <v>119</v>
      </c>
      <c r="B120">
        <v>778</v>
      </c>
      <c r="C120">
        <v>1219.69009437465</v>
      </c>
      <c r="D120">
        <v>1261.27265106727</v>
      </c>
      <c r="E120">
        <v>867.035</v>
      </c>
      <c r="F120">
        <v>859.326</v>
      </c>
      <c r="G120">
        <v>760.6</v>
      </c>
      <c r="H120">
        <v>718.5</v>
      </c>
      <c r="I120">
        <v>767.207</v>
      </c>
      <c r="J120">
        <v>780.866</v>
      </c>
      <c r="S120">
        <f t="shared" si="20"/>
        <v>119</v>
      </c>
      <c r="U120">
        <f t="shared" si="11"/>
        <v>-441.690094374649</v>
      </c>
      <c r="V120">
        <f t="shared" si="12"/>
        <v>-483.272651067275</v>
      </c>
      <c r="W120">
        <f t="shared" si="13"/>
        <v>-89.035</v>
      </c>
      <c r="X120">
        <f t="shared" si="14"/>
        <v>-81.326</v>
      </c>
      <c r="Y120">
        <f t="shared" si="15"/>
        <v>17.4</v>
      </c>
      <c r="Z120">
        <f t="shared" si="16"/>
        <v>59.5</v>
      </c>
      <c r="AA120">
        <f t="shared" si="17"/>
        <v>10.793</v>
      </c>
      <c r="AB120">
        <f t="shared" si="18"/>
        <v>-2.86599999999999</v>
      </c>
    </row>
    <row r="121" spans="1:28">
      <c r="A121">
        <f t="shared" si="19"/>
        <v>120</v>
      </c>
      <c r="B121">
        <v>783</v>
      </c>
      <c r="C121">
        <v>1579.54548299072</v>
      </c>
      <c r="D121">
        <v>1306.8310899379</v>
      </c>
      <c r="E121">
        <v>984.443</v>
      </c>
      <c r="F121">
        <v>1069.075</v>
      </c>
      <c r="G121">
        <v>760.6</v>
      </c>
      <c r="H121">
        <v>718.5</v>
      </c>
      <c r="I121">
        <v>827.617</v>
      </c>
      <c r="J121">
        <v>835.561</v>
      </c>
      <c r="S121">
        <f t="shared" si="20"/>
        <v>120</v>
      </c>
      <c r="U121">
        <f t="shared" si="11"/>
        <v>-796.545482990716</v>
      </c>
      <c r="V121">
        <f t="shared" si="12"/>
        <v>-523.831089937902</v>
      </c>
      <c r="W121">
        <f t="shared" si="13"/>
        <v>-201.443</v>
      </c>
      <c r="X121">
        <f t="shared" si="14"/>
        <v>-286.075</v>
      </c>
      <c r="Y121">
        <f t="shared" si="15"/>
        <v>22.4</v>
      </c>
      <c r="Z121">
        <f t="shared" si="16"/>
        <v>64.5</v>
      </c>
      <c r="AA121">
        <f t="shared" si="17"/>
        <v>-44.617</v>
      </c>
      <c r="AB121">
        <f t="shared" si="18"/>
        <v>-52.561</v>
      </c>
    </row>
    <row r="123" spans="1:28">
      <c r="A123">
        <v>121</v>
      </c>
      <c r="B123">
        <v>4731</v>
      </c>
      <c r="C123">
        <v>4240.737</v>
      </c>
      <c r="D123">
        <v>4055.64435075936</v>
      </c>
      <c r="E123">
        <v>4083.744</v>
      </c>
      <c r="F123">
        <v>4198.843</v>
      </c>
      <c r="G123">
        <v>4858</v>
      </c>
      <c r="H123">
        <v>3118</v>
      </c>
      <c r="I123">
        <v>4116.903</v>
      </c>
      <c r="J123">
        <v>4207.634</v>
      </c>
      <c r="S123">
        <v>121</v>
      </c>
      <c r="U123">
        <f t="shared" si="11"/>
        <v>490.263</v>
      </c>
      <c r="V123">
        <f t="shared" si="12"/>
        <v>675.355649240635</v>
      </c>
      <c r="W123">
        <f t="shared" si="13"/>
        <v>647.256</v>
      </c>
      <c r="X123">
        <f t="shared" si="14"/>
        <v>532.157</v>
      </c>
      <c r="Y123">
        <f t="shared" si="15"/>
        <v>-127</v>
      </c>
      <c r="Z123">
        <f t="shared" si="16"/>
        <v>1613</v>
      </c>
      <c r="AA123">
        <f t="shared" si="17"/>
        <v>614.097</v>
      </c>
      <c r="AB123">
        <f t="shared" si="18"/>
        <v>523.366</v>
      </c>
    </row>
    <row r="124" spans="1:28">
      <c r="A124">
        <f t="shared" si="19"/>
        <v>122</v>
      </c>
      <c r="B124">
        <v>5584</v>
      </c>
      <c r="C124">
        <v>5320.3032</v>
      </c>
      <c r="D124">
        <v>5106.82363476884</v>
      </c>
      <c r="E124">
        <v>5028.255</v>
      </c>
      <c r="F124">
        <v>5541.423</v>
      </c>
      <c r="G124">
        <v>5510</v>
      </c>
      <c r="H124">
        <v>5477.545</v>
      </c>
      <c r="I124">
        <v>5605.271</v>
      </c>
      <c r="J124">
        <v>5495.978</v>
      </c>
      <c r="S124">
        <f t="shared" si="20"/>
        <v>122</v>
      </c>
      <c r="U124">
        <f t="shared" si="11"/>
        <v>263.696799999999</v>
      </c>
      <c r="V124">
        <f t="shared" si="12"/>
        <v>477.176365231165</v>
      </c>
      <c r="W124">
        <f t="shared" si="13"/>
        <v>555.745</v>
      </c>
      <c r="X124">
        <f t="shared" si="14"/>
        <v>42.5770000000002</v>
      </c>
      <c r="Y124">
        <f t="shared" si="15"/>
        <v>74</v>
      </c>
      <c r="Z124">
        <f t="shared" si="16"/>
        <v>106.455</v>
      </c>
      <c r="AA124">
        <f t="shared" si="17"/>
        <v>-21.2709999999997</v>
      </c>
      <c r="AB124">
        <f t="shared" si="18"/>
        <v>88.0219999999999</v>
      </c>
    </row>
    <row r="125" spans="1:28">
      <c r="A125">
        <f t="shared" si="19"/>
        <v>123</v>
      </c>
      <c r="B125">
        <v>5845</v>
      </c>
      <c r="C125">
        <v>6579.7971</v>
      </c>
      <c r="D125">
        <v>5995.19257411214</v>
      </c>
      <c r="E125">
        <v>5947.359</v>
      </c>
      <c r="F125">
        <v>5482.86</v>
      </c>
      <c r="G125">
        <v>5770.4</v>
      </c>
      <c r="H125">
        <v>5477.545</v>
      </c>
      <c r="I125">
        <v>5817.523</v>
      </c>
      <c r="J125">
        <v>5838.348</v>
      </c>
      <c r="S125">
        <f t="shared" si="20"/>
        <v>123</v>
      </c>
      <c r="U125">
        <f t="shared" si="11"/>
        <v>-734.797100000001</v>
      </c>
      <c r="V125">
        <f t="shared" si="12"/>
        <v>-150.192574112143</v>
      </c>
      <c r="W125">
        <f t="shared" si="13"/>
        <v>-102.359</v>
      </c>
      <c r="X125">
        <f t="shared" si="14"/>
        <v>362.14</v>
      </c>
      <c r="Y125">
        <f t="shared" si="15"/>
        <v>74.6000000000004</v>
      </c>
      <c r="Z125">
        <f t="shared" si="16"/>
        <v>367.455</v>
      </c>
      <c r="AA125">
        <f t="shared" si="17"/>
        <v>27.4769999999999</v>
      </c>
      <c r="AB125">
        <f t="shared" si="18"/>
        <v>6.65200000000004</v>
      </c>
    </row>
    <row r="126" spans="1:28">
      <c r="A126">
        <f t="shared" si="19"/>
        <v>124</v>
      </c>
      <c r="B126">
        <v>932</v>
      </c>
      <c r="C126">
        <v>-109.2435</v>
      </c>
      <c r="D126">
        <v>994.697498702289</v>
      </c>
      <c r="E126">
        <v>663.655</v>
      </c>
      <c r="F126">
        <v>995.224</v>
      </c>
      <c r="G126">
        <v>995.25</v>
      </c>
      <c r="H126">
        <v>1040.2</v>
      </c>
      <c r="I126">
        <v>1076.169</v>
      </c>
      <c r="J126">
        <v>774.405</v>
      </c>
      <c r="S126">
        <f t="shared" si="20"/>
        <v>124</v>
      </c>
      <c r="U126">
        <f t="shared" si="11"/>
        <v>1041.2435</v>
      </c>
      <c r="V126">
        <f t="shared" si="12"/>
        <v>-62.6974987022888</v>
      </c>
      <c r="W126">
        <f t="shared" si="13"/>
        <v>268.345</v>
      </c>
      <c r="X126">
        <f t="shared" si="14"/>
        <v>-63.224</v>
      </c>
      <c r="Y126">
        <f t="shared" si="15"/>
        <v>-63.25</v>
      </c>
      <c r="Z126">
        <f t="shared" si="16"/>
        <v>-108.2</v>
      </c>
      <c r="AA126">
        <f t="shared" si="17"/>
        <v>-144.169</v>
      </c>
      <c r="AB126">
        <f t="shared" si="18"/>
        <v>157.595</v>
      </c>
    </row>
    <row r="127" spans="1:28">
      <c r="A127">
        <f t="shared" si="19"/>
        <v>125</v>
      </c>
      <c r="B127">
        <v>1670</v>
      </c>
      <c r="C127">
        <v>1150.2504</v>
      </c>
      <c r="D127">
        <v>2157.30249548605</v>
      </c>
      <c r="E127">
        <v>1616.619</v>
      </c>
      <c r="F127">
        <v>1694.618</v>
      </c>
      <c r="G127">
        <v>1220</v>
      </c>
      <c r="H127">
        <v>1040.2</v>
      </c>
      <c r="I127">
        <v>1567.063</v>
      </c>
      <c r="J127">
        <v>1542.733</v>
      </c>
      <c r="S127">
        <f t="shared" si="20"/>
        <v>125</v>
      </c>
      <c r="U127">
        <f t="shared" si="11"/>
        <v>519.749600000001</v>
      </c>
      <c r="V127">
        <f t="shared" si="12"/>
        <v>-487.302495486048</v>
      </c>
      <c r="W127">
        <f t="shared" si="13"/>
        <v>53.3810000000001</v>
      </c>
      <c r="X127">
        <f t="shared" si="14"/>
        <v>-24.6179999999999</v>
      </c>
      <c r="Y127">
        <f t="shared" si="15"/>
        <v>450</v>
      </c>
      <c r="Z127">
        <f t="shared" si="16"/>
        <v>629.8</v>
      </c>
      <c r="AA127">
        <f t="shared" si="17"/>
        <v>102.937</v>
      </c>
      <c r="AB127">
        <f t="shared" si="18"/>
        <v>127.267</v>
      </c>
    </row>
    <row r="128" spans="1:28">
      <c r="A128">
        <f t="shared" si="19"/>
        <v>126</v>
      </c>
      <c r="B128">
        <v>3211</v>
      </c>
      <c r="C128">
        <v>2949.5274</v>
      </c>
      <c r="D128">
        <v>2917.61812529833</v>
      </c>
      <c r="E128">
        <v>2977.995</v>
      </c>
      <c r="F128">
        <v>3082.936</v>
      </c>
      <c r="G128">
        <v>3286.75</v>
      </c>
      <c r="H128">
        <v>3040.667</v>
      </c>
      <c r="I128">
        <v>3147.444</v>
      </c>
      <c r="J128">
        <v>3020.613</v>
      </c>
      <c r="S128">
        <f t="shared" si="20"/>
        <v>126</v>
      </c>
      <c r="U128">
        <f t="shared" si="11"/>
        <v>261.472600000001</v>
      </c>
      <c r="V128">
        <f t="shared" si="12"/>
        <v>293.381874701667</v>
      </c>
      <c r="W128">
        <f t="shared" si="13"/>
        <v>233.005</v>
      </c>
      <c r="X128">
        <f t="shared" si="14"/>
        <v>128.064</v>
      </c>
      <c r="Y128">
        <f t="shared" si="15"/>
        <v>-75.75</v>
      </c>
      <c r="Z128">
        <f t="shared" si="16"/>
        <v>170.333</v>
      </c>
      <c r="AA128">
        <f t="shared" si="17"/>
        <v>63.556</v>
      </c>
      <c r="AB128">
        <f t="shared" si="18"/>
        <v>190.387</v>
      </c>
    </row>
    <row r="129" spans="1:28">
      <c r="A129">
        <f t="shared" si="19"/>
        <v>127</v>
      </c>
      <c r="B129">
        <v>3321</v>
      </c>
      <c r="C129">
        <v>6058.58625</v>
      </c>
      <c r="D129">
        <v>3512.06299914296</v>
      </c>
      <c r="E129">
        <v>5494.926</v>
      </c>
      <c r="F129">
        <v>4478.333</v>
      </c>
      <c r="G129">
        <v>4205</v>
      </c>
      <c r="H129">
        <v>5040.2</v>
      </c>
      <c r="I129">
        <v>3650.419</v>
      </c>
      <c r="J129">
        <v>3855.779</v>
      </c>
      <c r="S129">
        <f t="shared" si="20"/>
        <v>127</v>
      </c>
      <c r="U129">
        <f t="shared" si="11"/>
        <v>-2737.58625</v>
      </c>
      <c r="V129">
        <f t="shared" si="12"/>
        <v>-191.062999142956</v>
      </c>
      <c r="W129">
        <f t="shared" si="13"/>
        <v>-2173.926</v>
      </c>
      <c r="X129">
        <f t="shared" si="14"/>
        <v>-1157.333</v>
      </c>
      <c r="Y129">
        <f t="shared" si="15"/>
        <v>-884</v>
      </c>
      <c r="Z129">
        <f t="shared" si="16"/>
        <v>-1719.2</v>
      </c>
      <c r="AA129">
        <f t="shared" si="17"/>
        <v>-329.419</v>
      </c>
      <c r="AB129">
        <f t="shared" si="18"/>
        <v>-534.779</v>
      </c>
    </row>
    <row r="130" spans="1:28">
      <c r="A130">
        <f t="shared" si="19"/>
        <v>128</v>
      </c>
      <c r="B130">
        <v>8865</v>
      </c>
      <c r="C130">
        <v>7498.00785</v>
      </c>
      <c r="D130">
        <v>7958.41129759069</v>
      </c>
      <c r="E130">
        <v>8157.115</v>
      </c>
      <c r="F130">
        <v>8404.95</v>
      </c>
      <c r="G130">
        <v>8808.333</v>
      </c>
      <c r="H130">
        <v>8914.6</v>
      </c>
      <c r="I130">
        <v>9068.397</v>
      </c>
      <c r="J130">
        <v>8749.407</v>
      </c>
      <c r="S130">
        <f t="shared" si="20"/>
        <v>128</v>
      </c>
      <c r="U130">
        <f t="shared" si="11"/>
        <v>1366.99215</v>
      </c>
      <c r="V130">
        <f t="shared" si="12"/>
        <v>906.588702409313</v>
      </c>
      <c r="W130">
        <f t="shared" si="13"/>
        <v>707.885</v>
      </c>
      <c r="X130">
        <f t="shared" si="14"/>
        <v>460.049999999999</v>
      </c>
      <c r="Y130">
        <f t="shared" si="15"/>
        <v>56.6669999999995</v>
      </c>
      <c r="Z130">
        <f t="shared" si="16"/>
        <v>-49.6000000000004</v>
      </c>
      <c r="AA130">
        <f t="shared" si="17"/>
        <v>-203.397000000001</v>
      </c>
      <c r="AB130">
        <f t="shared" si="18"/>
        <v>115.593000000001</v>
      </c>
    </row>
    <row r="131" spans="1:28">
      <c r="A131">
        <f t="shared" si="19"/>
        <v>129</v>
      </c>
      <c r="B131">
        <v>9758</v>
      </c>
      <c r="C131">
        <v>9117.35715</v>
      </c>
      <c r="D131">
        <v>10301.4822866826</v>
      </c>
      <c r="E131">
        <v>9818.192</v>
      </c>
      <c r="F131">
        <v>9682.471</v>
      </c>
      <c r="G131">
        <v>9849.5</v>
      </c>
      <c r="H131">
        <v>9853.824</v>
      </c>
      <c r="I131">
        <v>9786.966</v>
      </c>
      <c r="J131">
        <v>9910.702</v>
      </c>
      <c r="S131">
        <f t="shared" si="20"/>
        <v>129</v>
      </c>
      <c r="U131">
        <f t="shared" ref="U131:U178" si="21">($B131-C131)</f>
        <v>640.64285</v>
      </c>
      <c r="V131">
        <f t="shared" ref="V131:V178" si="22">($B131-D131)</f>
        <v>-543.482286682591</v>
      </c>
      <c r="W131">
        <f t="shared" ref="W131:W178" si="23">($B131-E131)</f>
        <v>-60.1919999999991</v>
      </c>
      <c r="X131">
        <f t="shared" ref="X131:X178" si="24">($B131-F131)</f>
        <v>75.5290000000005</v>
      </c>
      <c r="Y131">
        <f t="shared" ref="Y131:Y178" si="25">($B131-G131)</f>
        <v>-91.5</v>
      </c>
      <c r="Z131">
        <f t="shared" ref="Z131:Z178" si="26">($B131-H131)</f>
        <v>-95.8240000000005</v>
      </c>
      <c r="AA131">
        <f t="shared" ref="AA131:AA178" si="27">($B131-I131)</f>
        <v>-28.9660000000003</v>
      </c>
      <c r="AB131">
        <f t="shared" ref="AB131:AB178" si="28">($B131-J131)</f>
        <v>-152.701999999999</v>
      </c>
    </row>
    <row r="132" spans="1:28">
      <c r="A132">
        <f t="shared" ref="A132:A178" si="29">A131+1</f>
        <v>130</v>
      </c>
      <c r="B132">
        <v>944</v>
      </c>
      <c r="C132">
        <v>2968.09965</v>
      </c>
      <c r="D132">
        <v>2300.89310419864</v>
      </c>
      <c r="E132">
        <v>1457.916</v>
      </c>
      <c r="F132">
        <v>1242.233</v>
      </c>
      <c r="G132">
        <v>1007.5</v>
      </c>
      <c r="H132">
        <v>1206.833</v>
      </c>
      <c r="I132">
        <v>935.723</v>
      </c>
      <c r="J132">
        <v>380.91</v>
      </c>
      <c r="S132">
        <f t="shared" ref="S132:S178" si="30">S131+1</f>
        <v>130</v>
      </c>
      <c r="U132">
        <f t="shared" si="21"/>
        <v>-2024.09965</v>
      </c>
      <c r="V132">
        <f t="shared" si="22"/>
        <v>-1356.89310419864</v>
      </c>
      <c r="W132">
        <f t="shared" si="23"/>
        <v>-513.916</v>
      </c>
      <c r="X132">
        <f t="shared" si="24"/>
        <v>-298.233</v>
      </c>
      <c r="Y132">
        <f t="shared" si="25"/>
        <v>-63.5</v>
      </c>
      <c r="Z132">
        <f t="shared" si="26"/>
        <v>-262.833</v>
      </c>
      <c r="AA132">
        <f t="shared" si="27"/>
        <v>8.27700000000004</v>
      </c>
      <c r="AB132">
        <f t="shared" si="28"/>
        <v>563.09</v>
      </c>
    </row>
    <row r="133" spans="1:28">
      <c r="A133">
        <f t="shared" si="29"/>
        <v>131</v>
      </c>
      <c r="B133">
        <v>1175</v>
      </c>
      <c r="C133">
        <v>3507.88275</v>
      </c>
      <c r="D133">
        <v>3236.30421859054</v>
      </c>
      <c r="E133">
        <v>2219.308</v>
      </c>
      <c r="F133">
        <v>1550.135</v>
      </c>
      <c r="G133">
        <v>1007.5</v>
      </c>
      <c r="H133">
        <v>1206.833</v>
      </c>
      <c r="I133">
        <v>1332.426</v>
      </c>
      <c r="J133">
        <v>1599.495</v>
      </c>
      <c r="S133">
        <f t="shared" si="30"/>
        <v>131</v>
      </c>
      <c r="U133">
        <f t="shared" si="21"/>
        <v>-2332.88275</v>
      </c>
      <c r="V133">
        <f t="shared" si="22"/>
        <v>-2061.30421859054</v>
      </c>
      <c r="W133">
        <f t="shared" si="23"/>
        <v>-1044.308</v>
      </c>
      <c r="X133">
        <f t="shared" si="24"/>
        <v>-375.135</v>
      </c>
      <c r="Y133">
        <f t="shared" si="25"/>
        <v>167.5</v>
      </c>
      <c r="Z133">
        <f t="shared" si="26"/>
        <v>-31.8330000000001</v>
      </c>
      <c r="AA133">
        <f t="shared" si="27"/>
        <v>-157.426</v>
      </c>
      <c r="AB133">
        <f t="shared" si="28"/>
        <v>-424.495</v>
      </c>
    </row>
    <row r="134" spans="1:28">
      <c r="A134">
        <f t="shared" si="29"/>
        <v>132</v>
      </c>
      <c r="B134">
        <v>4767</v>
      </c>
      <c r="C134">
        <v>4767.37665</v>
      </c>
      <c r="D134">
        <v>4483.34153125726</v>
      </c>
      <c r="E134">
        <v>4439.768</v>
      </c>
      <c r="F134">
        <v>4881.984</v>
      </c>
      <c r="G134">
        <v>4348</v>
      </c>
      <c r="H134">
        <v>4498</v>
      </c>
      <c r="I134">
        <v>4760.77</v>
      </c>
      <c r="J134">
        <v>4584.76</v>
      </c>
      <c r="S134">
        <f t="shared" si="30"/>
        <v>132</v>
      </c>
      <c r="U134">
        <f t="shared" si="21"/>
        <v>-0.376649999999245</v>
      </c>
      <c r="V134">
        <f t="shared" si="22"/>
        <v>283.658468742736</v>
      </c>
      <c r="W134">
        <f t="shared" si="23"/>
        <v>327.232</v>
      </c>
      <c r="X134">
        <f t="shared" si="24"/>
        <v>-114.984</v>
      </c>
      <c r="Y134">
        <f t="shared" si="25"/>
        <v>419</v>
      </c>
      <c r="Z134">
        <f t="shared" si="26"/>
        <v>269</v>
      </c>
      <c r="AA134">
        <f t="shared" si="27"/>
        <v>6.22999999999956</v>
      </c>
      <c r="AB134">
        <f t="shared" si="28"/>
        <v>182.24</v>
      </c>
    </row>
    <row r="135" spans="1:28">
      <c r="A135">
        <f t="shared" si="29"/>
        <v>133</v>
      </c>
      <c r="B135">
        <v>6311</v>
      </c>
      <c r="C135">
        <v>5846.94285</v>
      </c>
      <c r="D135">
        <v>5213.87391953717</v>
      </c>
      <c r="E135">
        <v>5903.659</v>
      </c>
      <c r="F135">
        <v>6357.364</v>
      </c>
      <c r="G135">
        <v>6379.8</v>
      </c>
      <c r="H135">
        <v>6456.8</v>
      </c>
      <c r="I135">
        <v>6225.816</v>
      </c>
      <c r="J135">
        <v>6189.157</v>
      </c>
      <c r="S135">
        <f t="shared" si="30"/>
        <v>133</v>
      </c>
      <c r="U135">
        <f t="shared" si="21"/>
        <v>464.05715</v>
      </c>
      <c r="V135">
        <f t="shared" si="22"/>
        <v>1097.12608046283</v>
      </c>
      <c r="W135">
        <f t="shared" si="23"/>
        <v>407.341</v>
      </c>
      <c r="X135">
        <f t="shared" si="24"/>
        <v>-46.3639999999996</v>
      </c>
      <c r="Y135">
        <f t="shared" si="25"/>
        <v>-68.8000000000002</v>
      </c>
      <c r="Z135">
        <f t="shared" si="26"/>
        <v>-145.8</v>
      </c>
      <c r="AA135">
        <f t="shared" si="27"/>
        <v>85.1840000000002</v>
      </c>
      <c r="AB135">
        <f t="shared" si="28"/>
        <v>121.843</v>
      </c>
    </row>
    <row r="136" spans="1:28">
      <c r="A136">
        <f t="shared" si="29"/>
        <v>134</v>
      </c>
      <c r="B136">
        <v>3621</v>
      </c>
      <c r="C136">
        <v>6196.62105</v>
      </c>
      <c r="D136">
        <v>3667.063723709</v>
      </c>
      <c r="E136">
        <v>5578.187</v>
      </c>
      <c r="F136">
        <v>4591.635</v>
      </c>
      <c r="G136">
        <v>4505</v>
      </c>
      <c r="H136">
        <v>5040.2</v>
      </c>
      <c r="I136">
        <v>4078.861</v>
      </c>
      <c r="J136">
        <v>4181.627</v>
      </c>
      <c r="S136">
        <f t="shared" si="30"/>
        <v>134</v>
      </c>
      <c r="U136">
        <f t="shared" si="21"/>
        <v>-2575.62105</v>
      </c>
      <c r="V136">
        <f t="shared" si="22"/>
        <v>-46.0637237089982</v>
      </c>
      <c r="W136">
        <f t="shared" si="23"/>
        <v>-1957.187</v>
      </c>
      <c r="X136">
        <f t="shared" si="24"/>
        <v>-970.635</v>
      </c>
      <c r="Y136">
        <f t="shared" si="25"/>
        <v>-884</v>
      </c>
      <c r="Z136">
        <f t="shared" si="26"/>
        <v>-1419.2</v>
      </c>
      <c r="AA136">
        <f t="shared" si="27"/>
        <v>-457.861</v>
      </c>
      <c r="AB136">
        <f t="shared" si="28"/>
        <v>-560.627</v>
      </c>
    </row>
    <row r="137" spans="1:28">
      <c r="A137">
        <f t="shared" si="29"/>
        <v>135</v>
      </c>
      <c r="B137">
        <v>9184</v>
      </c>
      <c r="C137">
        <v>7815.97035</v>
      </c>
      <c r="D137">
        <v>8642.07505417799</v>
      </c>
      <c r="E137">
        <v>8500.85</v>
      </c>
      <c r="F137">
        <v>9286.392</v>
      </c>
      <c r="G137">
        <v>9902</v>
      </c>
      <c r="H137">
        <v>8914.6</v>
      </c>
      <c r="I137">
        <v>9790.853</v>
      </c>
      <c r="J137">
        <v>9417.042</v>
      </c>
      <c r="S137">
        <f t="shared" si="30"/>
        <v>135</v>
      </c>
      <c r="U137">
        <f t="shared" si="21"/>
        <v>1368.02965</v>
      </c>
      <c r="V137">
        <f t="shared" si="22"/>
        <v>541.924945822009</v>
      </c>
      <c r="W137">
        <f t="shared" si="23"/>
        <v>683.15</v>
      </c>
      <c r="X137">
        <f t="shared" si="24"/>
        <v>-102.392</v>
      </c>
      <c r="Y137">
        <f t="shared" si="25"/>
        <v>-718</v>
      </c>
      <c r="Z137">
        <f t="shared" si="26"/>
        <v>269.4</v>
      </c>
      <c r="AA137">
        <f t="shared" si="27"/>
        <v>-606.852999999999</v>
      </c>
      <c r="AB137">
        <f t="shared" si="28"/>
        <v>-233.041999999999</v>
      </c>
    </row>
    <row r="138" spans="1:28">
      <c r="A138">
        <f t="shared" si="29"/>
        <v>136</v>
      </c>
      <c r="B138">
        <v>9975</v>
      </c>
      <c r="C138">
        <v>8715.60885</v>
      </c>
      <c r="D138">
        <v>10050.2469913385</v>
      </c>
      <c r="E138">
        <v>9485.595</v>
      </c>
      <c r="F138">
        <v>9754.347</v>
      </c>
      <c r="G138">
        <v>9902</v>
      </c>
      <c r="H138">
        <v>9853.824</v>
      </c>
      <c r="I138">
        <v>9908.005</v>
      </c>
      <c r="J138">
        <v>10306.492</v>
      </c>
      <c r="S138">
        <f t="shared" si="30"/>
        <v>136</v>
      </c>
      <c r="U138">
        <f t="shared" si="21"/>
        <v>1259.39115</v>
      </c>
      <c r="V138">
        <f t="shared" si="22"/>
        <v>-75.2469913385357</v>
      </c>
      <c r="W138">
        <f t="shared" si="23"/>
        <v>489.405000000001</v>
      </c>
      <c r="X138">
        <f t="shared" si="24"/>
        <v>220.653</v>
      </c>
      <c r="Y138">
        <f t="shared" si="25"/>
        <v>73</v>
      </c>
      <c r="Z138">
        <f t="shared" si="26"/>
        <v>121.175999999999</v>
      </c>
      <c r="AA138">
        <f t="shared" si="27"/>
        <v>66.9950000000008</v>
      </c>
      <c r="AB138">
        <f t="shared" si="28"/>
        <v>-331.492</v>
      </c>
    </row>
    <row r="139" spans="1:28">
      <c r="A139">
        <f t="shared" si="29"/>
        <v>137</v>
      </c>
      <c r="B139">
        <v>10147</v>
      </c>
      <c r="C139">
        <v>9615.24735</v>
      </c>
      <c r="D139">
        <v>11186.426506726</v>
      </c>
      <c r="E139">
        <v>10340.006</v>
      </c>
      <c r="F139">
        <v>10066.605</v>
      </c>
      <c r="G139">
        <v>10150.667</v>
      </c>
      <c r="H139">
        <v>9853.824</v>
      </c>
      <c r="I139">
        <v>10171.906</v>
      </c>
      <c r="J139">
        <v>10122.364</v>
      </c>
      <c r="S139">
        <f t="shared" si="30"/>
        <v>137</v>
      </c>
      <c r="U139">
        <f t="shared" si="21"/>
        <v>531.752649999999</v>
      </c>
      <c r="V139">
        <f t="shared" si="22"/>
        <v>-1039.42650672599</v>
      </c>
      <c r="W139">
        <f t="shared" si="23"/>
        <v>-193.005999999999</v>
      </c>
      <c r="X139">
        <f t="shared" si="24"/>
        <v>80.3950000000004</v>
      </c>
      <c r="Y139">
        <f t="shared" si="25"/>
        <v>-3.66699999999946</v>
      </c>
      <c r="Z139">
        <f t="shared" si="26"/>
        <v>293.175999999999</v>
      </c>
      <c r="AA139">
        <f t="shared" si="27"/>
        <v>-24.9060000000009</v>
      </c>
      <c r="AB139">
        <f t="shared" si="28"/>
        <v>24.6360000000004</v>
      </c>
    </row>
    <row r="140" spans="1:28">
      <c r="A140">
        <f t="shared" si="29"/>
        <v>138</v>
      </c>
      <c r="B140">
        <v>1356</v>
      </c>
      <c r="C140">
        <v>3465.98985</v>
      </c>
      <c r="D140">
        <v>3109.7533315378</v>
      </c>
      <c r="E140">
        <v>2217.677</v>
      </c>
      <c r="F140">
        <v>1480.584</v>
      </c>
      <c r="G140">
        <v>1475</v>
      </c>
      <c r="H140">
        <v>1206.833</v>
      </c>
      <c r="I140">
        <v>1335.567</v>
      </c>
      <c r="J140">
        <v>1691.892</v>
      </c>
      <c r="S140">
        <f t="shared" si="30"/>
        <v>138</v>
      </c>
      <c r="U140">
        <f t="shared" si="21"/>
        <v>-2109.98985</v>
      </c>
      <c r="V140">
        <f t="shared" si="22"/>
        <v>-1753.7533315378</v>
      </c>
      <c r="W140">
        <f t="shared" si="23"/>
        <v>-861.677</v>
      </c>
      <c r="X140">
        <f t="shared" si="24"/>
        <v>-124.584</v>
      </c>
      <c r="Y140">
        <f t="shared" si="25"/>
        <v>-119</v>
      </c>
      <c r="Z140">
        <f t="shared" si="26"/>
        <v>149.167</v>
      </c>
      <c r="AA140">
        <f t="shared" si="27"/>
        <v>20.433</v>
      </c>
      <c r="AB140">
        <f t="shared" si="28"/>
        <v>-335.892</v>
      </c>
    </row>
    <row r="141" spans="1:28">
      <c r="A141">
        <f t="shared" si="29"/>
        <v>139</v>
      </c>
      <c r="B141">
        <v>4876</v>
      </c>
      <c r="C141">
        <v>4905.41145</v>
      </c>
      <c r="D141">
        <v>4681.20847897189</v>
      </c>
      <c r="E141">
        <v>4678.681</v>
      </c>
      <c r="F141">
        <v>5131.119</v>
      </c>
      <c r="G141">
        <v>4648</v>
      </c>
      <c r="H141">
        <v>4498</v>
      </c>
      <c r="I141">
        <v>5058.15</v>
      </c>
      <c r="J141">
        <v>4745.788</v>
      </c>
      <c r="S141">
        <f t="shared" si="30"/>
        <v>139</v>
      </c>
      <c r="U141">
        <f t="shared" si="21"/>
        <v>-29.4114499999987</v>
      </c>
      <c r="V141">
        <f t="shared" si="22"/>
        <v>194.791521028105</v>
      </c>
      <c r="W141">
        <f t="shared" si="23"/>
        <v>197.319</v>
      </c>
      <c r="X141">
        <f t="shared" si="24"/>
        <v>-255.119</v>
      </c>
      <c r="Y141">
        <f t="shared" si="25"/>
        <v>228</v>
      </c>
      <c r="Z141">
        <f t="shared" si="26"/>
        <v>378</v>
      </c>
      <c r="AA141">
        <f t="shared" si="27"/>
        <v>-182.15</v>
      </c>
      <c r="AB141">
        <f t="shared" si="28"/>
        <v>130.212</v>
      </c>
    </row>
    <row r="142" spans="1:28">
      <c r="A142">
        <f t="shared" si="29"/>
        <v>140</v>
      </c>
      <c r="B142">
        <v>5610</v>
      </c>
      <c r="C142">
        <v>5265.26685</v>
      </c>
      <c r="D142">
        <v>4957.72284490318</v>
      </c>
      <c r="E142">
        <v>5166.645</v>
      </c>
      <c r="F142">
        <v>5832.738</v>
      </c>
      <c r="G142">
        <v>5621</v>
      </c>
      <c r="H142">
        <v>5417.333</v>
      </c>
      <c r="I142">
        <v>5555.89</v>
      </c>
      <c r="J142">
        <v>5434.95</v>
      </c>
      <c r="S142">
        <f t="shared" si="30"/>
        <v>140</v>
      </c>
      <c r="U142">
        <f t="shared" si="21"/>
        <v>344.733150000001</v>
      </c>
      <c r="V142">
        <f t="shared" si="22"/>
        <v>652.27715509682</v>
      </c>
      <c r="W142">
        <f t="shared" si="23"/>
        <v>443.355</v>
      </c>
      <c r="X142">
        <f t="shared" si="24"/>
        <v>-222.738</v>
      </c>
      <c r="Y142">
        <f t="shared" si="25"/>
        <v>-11</v>
      </c>
      <c r="Z142">
        <f t="shared" si="26"/>
        <v>192.667</v>
      </c>
      <c r="AA142">
        <f t="shared" si="27"/>
        <v>54.1099999999997</v>
      </c>
      <c r="AB142">
        <f t="shared" si="28"/>
        <v>175.05</v>
      </c>
    </row>
    <row r="143" spans="1:28">
      <c r="A143">
        <f t="shared" si="29"/>
        <v>141</v>
      </c>
      <c r="B143">
        <v>6734</v>
      </c>
      <c r="C143">
        <v>6524.76075</v>
      </c>
      <c r="D143">
        <v>5765.55269348073</v>
      </c>
      <c r="E143">
        <v>6874.518</v>
      </c>
      <c r="F143">
        <v>6750.165</v>
      </c>
      <c r="G143">
        <v>6675.5</v>
      </c>
      <c r="H143">
        <v>6456.8</v>
      </c>
      <c r="I143">
        <v>6779.913</v>
      </c>
      <c r="J143">
        <v>6820.012</v>
      </c>
      <c r="S143">
        <f t="shared" si="30"/>
        <v>141</v>
      </c>
      <c r="U143">
        <f t="shared" si="21"/>
        <v>209.239250000001</v>
      </c>
      <c r="V143">
        <f t="shared" si="22"/>
        <v>968.447306519274</v>
      </c>
      <c r="W143">
        <f t="shared" si="23"/>
        <v>-140.518</v>
      </c>
      <c r="X143">
        <f t="shared" si="24"/>
        <v>-16.165</v>
      </c>
      <c r="Y143">
        <f t="shared" si="25"/>
        <v>58.5</v>
      </c>
      <c r="Z143">
        <f t="shared" si="26"/>
        <v>277.2</v>
      </c>
      <c r="AA143">
        <f t="shared" si="27"/>
        <v>-45.9129999999996</v>
      </c>
      <c r="AB143">
        <f t="shared" si="28"/>
        <v>-86.0119999999997</v>
      </c>
    </row>
    <row r="144" spans="1:28">
      <c r="A144">
        <f t="shared" si="29"/>
        <v>142</v>
      </c>
      <c r="B144">
        <v>2110</v>
      </c>
      <c r="C144">
        <v>1431.0262</v>
      </c>
      <c r="D144">
        <v>1229.72300680954</v>
      </c>
      <c r="E144">
        <v>1946.354</v>
      </c>
      <c r="F144">
        <v>2220.681</v>
      </c>
      <c r="G144">
        <v>2150.556</v>
      </c>
      <c r="H144">
        <v>2141.5</v>
      </c>
      <c r="I144">
        <v>2102.651</v>
      </c>
      <c r="J144">
        <v>2077.801</v>
      </c>
      <c r="S144">
        <f t="shared" si="30"/>
        <v>142</v>
      </c>
      <c r="U144">
        <f t="shared" si="21"/>
        <v>678.9738</v>
      </c>
      <c r="V144">
        <f t="shared" si="22"/>
        <v>880.276993190458</v>
      </c>
      <c r="W144">
        <f t="shared" si="23"/>
        <v>163.646</v>
      </c>
      <c r="X144">
        <f t="shared" si="24"/>
        <v>-110.681</v>
      </c>
      <c r="Y144">
        <f t="shared" si="25"/>
        <v>-40.556</v>
      </c>
      <c r="Z144">
        <f t="shared" si="26"/>
        <v>-31.5</v>
      </c>
      <c r="AA144">
        <f t="shared" si="27"/>
        <v>7.34900000000016</v>
      </c>
      <c r="AB144">
        <f t="shared" si="28"/>
        <v>32.1990000000001</v>
      </c>
    </row>
    <row r="145" spans="1:28">
      <c r="A145">
        <f t="shared" si="29"/>
        <v>143</v>
      </c>
      <c r="B145">
        <v>2208</v>
      </c>
      <c r="C145">
        <v>3050.3755</v>
      </c>
      <c r="D145">
        <v>2060.4115621828</v>
      </c>
      <c r="E145">
        <v>2474.69</v>
      </c>
      <c r="F145">
        <v>2203.811</v>
      </c>
      <c r="G145">
        <v>2150.556</v>
      </c>
      <c r="H145">
        <v>2366</v>
      </c>
      <c r="I145">
        <v>2203.819</v>
      </c>
      <c r="J145">
        <v>2221.214</v>
      </c>
      <c r="S145">
        <f t="shared" si="30"/>
        <v>143</v>
      </c>
      <c r="U145">
        <f t="shared" si="21"/>
        <v>-842.3755</v>
      </c>
      <c r="V145">
        <f t="shared" si="22"/>
        <v>147.588437817199</v>
      </c>
      <c r="W145">
        <f t="shared" si="23"/>
        <v>-266.69</v>
      </c>
      <c r="X145">
        <f t="shared" si="24"/>
        <v>4.18899999999985</v>
      </c>
      <c r="Y145">
        <f t="shared" si="25"/>
        <v>57.444</v>
      </c>
      <c r="Z145">
        <f t="shared" si="26"/>
        <v>-158</v>
      </c>
      <c r="AA145">
        <f t="shared" si="27"/>
        <v>4.18100000000004</v>
      </c>
      <c r="AB145">
        <f t="shared" si="28"/>
        <v>-13.2139999999999</v>
      </c>
    </row>
    <row r="146" spans="1:28">
      <c r="A146">
        <f t="shared" si="29"/>
        <v>144</v>
      </c>
      <c r="B146">
        <v>2390</v>
      </c>
      <c r="C146">
        <v>4309.8694</v>
      </c>
      <c r="D146">
        <v>2444.86386412245</v>
      </c>
      <c r="E146">
        <v>2885.618</v>
      </c>
      <c r="F146">
        <v>2323.622</v>
      </c>
      <c r="G146">
        <v>2389.833</v>
      </c>
      <c r="H146">
        <v>2366</v>
      </c>
      <c r="I146">
        <v>2383.52</v>
      </c>
      <c r="J146">
        <v>2371.272</v>
      </c>
      <c r="S146">
        <f t="shared" si="30"/>
        <v>144</v>
      </c>
      <c r="U146">
        <f t="shared" si="21"/>
        <v>-1919.8694</v>
      </c>
      <c r="V146">
        <f t="shared" si="22"/>
        <v>-54.8638641224516</v>
      </c>
      <c r="W146">
        <f t="shared" si="23"/>
        <v>-495.618</v>
      </c>
      <c r="X146">
        <f t="shared" si="24"/>
        <v>66.3780000000002</v>
      </c>
      <c r="Y146">
        <f t="shared" si="25"/>
        <v>0.166999999999916</v>
      </c>
      <c r="Z146">
        <f t="shared" si="26"/>
        <v>24</v>
      </c>
      <c r="AA146">
        <f t="shared" si="27"/>
        <v>6.48000000000002</v>
      </c>
      <c r="AB146">
        <f t="shared" si="28"/>
        <v>18.7280000000001</v>
      </c>
    </row>
    <row r="147" spans="1:28">
      <c r="A147">
        <f t="shared" si="29"/>
        <v>145</v>
      </c>
      <c r="B147">
        <v>490</v>
      </c>
      <c r="C147">
        <v>-1839.3881</v>
      </c>
      <c r="D147">
        <v>622.397877803258</v>
      </c>
      <c r="E147">
        <v>-130.933</v>
      </c>
      <c r="F147">
        <v>631.05</v>
      </c>
      <c r="G147">
        <v>576.333</v>
      </c>
      <c r="H147">
        <v>540.333</v>
      </c>
      <c r="I147">
        <v>461.406</v>
      </c>
      <c r="J147">
        <v>497.585</v>
      </c>
      <c r="S147">
        <f t="shared" si="30"/>
        <v>145</v>
      </c>
      <c r="U147">
        <f t="shared" si="21"/>
        <v>2329.3881</v>
      </c>
      <c r="V147">
        <f t="shared" si="22"/>
        <v>-132.397877803258</v>
      </c>
      <c r="W147">
        <f t="shared" si="23"/>
        <v>620.933</v>
      </c>
      <c r="X147">
        <f t="shared" si="24"/>
        <v>-141.05</v>
      </c>
      <c r="Y147">
        <f t="shared" si="25"/>
        <v>-86.333</v>
      </c>
      <c r="Z147">
        <f t="shared" si="26"/>
        <v>-50.333</v>
      </c>
      <c r="AA147">
        <f t="shared" si="27"/>
        <v>28.594</v>
      </c>
      <c r="AB147">
        <f t="shared" si="28"/>
        <v>-7.58499999999998</v>
      </c>
    </row>
    <row r="148" spans="1:28">
      <c r="A148">
        <f t="shared" si="29"/>
        <v>146</v>
      </c>
      <c r="B148">
        <v>588</v>
      </c>
      <c r="C148">
        <v>-1299.605</v>
      </c>
      <c r="D148">
        <v>805.640783531776</v>
      </c>
      <c r="E148">
        <v>45.179</v>
      </c>
      <c r="F148">
        <v>633.329</v>
      </c>
      <c r="G148">
        <v>576.333</v>
      </c>
      <c r="H148">
        <v>540.333</v>
      </c>
      <c r="I148">
        <v>553.415</v>
      </c>
      <c r="J148">
        <v>531.219</v>
      </c>
      <c r="S148">
        <f t="shared" si="30"/>
        <v>146</v>
      </c>
      <c r="U148">
        <f t="shared" si="21"/>
        <v>1887.605</v>
      </c>
      <c r="V148">
        <f t="shared" si="22"/>
        <v>-217.640783531776</v>
      </c>
      <c r="W148">
        <f t="shared" si="23"/>
        <v>542.821</v>
      </c>
      <c r="X148">
        <f t="shared" si="24"/>
        <v>-45.329</v>
      </c>
      <c r="Y148">
        <f t="shared" si="25"/>
        <v>11.667</v>
      </c>
      <c r="Z148">
        <f t="shared" si="26"/>
        <v>47.667</v>
      </c>
      <c r="AA148">
        <f t="shared" si="27"/>
        <v>34.585</v>
      </c>
      <c r="AB148">
        <f t="shared" si="28"/>
        <v>56.7809999999999</v>
      </c>
    </row>
    <row r="149" spans="1:28">
      <c r="A149">
        <f t="shared" si="29"/>
        <v>147</v>
      </c>
      <c r="B149">
        <v>670</v>
      </c>
      <c r="C149">
        <v>319.744299999999</v>
      </c>
      <c r="D149">
        <v>1133.168099663</v>
      </c>
      <c r="E149">
        <v>573.515</v>
      </c>
      <c r="F149">
        <v>901.384</v>
      </c>
      <c r="G149">
        <v>760.6</v>
      </c>
      <c r="H149">
        <v>718.5</v>
      </c>
      <c r="I149">
        <v>692.225</v>
      </c>
      <c r="J149">
        <v>697.596</v>
      </c>
      <c r="S149">
        <f t="shared" si="30"/>
        <v>147</v>
      </c>
      <c r="U149">
        <f t="shared" si="21"/>
        <v>350.255700000001</v>
      </c>
      <c r="V149">
        <f t="shared" si="22"/>
        <v>-463.168099663002</v>
      </c>
      <c r="W149">
        <f t="shared" si="23"/>
        <v>96.485</v>
      </c>
      <c r="X149">
        <f t="shared" si="24"/>
        <v>-231.384</v>
      </c>
      <c r="Y149">
        <f t="shared" si="25"/>
        <v>-90.6</v>
      </c>
      <c r="Z149">
        <f t="shared" si="26"/>
        <v>-48.5</v>
      </c>
      <c r="AA149">
        <f t="shared" si="27"/>
        <v>-22.225</v>
      </c>
      <c r="AB149">
        <f t="shared" si="28"/>
        <v>-27.596</v>
      </c>
    </row>
    <row r="150" spans="1:28">
      <c r="A150">
        <f t="shared" si="29"/>
        <v>148</v>
      </c>
      <c r="B150">
        <v>750</v>
      </c>
      <c r="C150">
        <v>679.599699999999</v>
      </c>
      <c r="D150">
        <v>1187.22128625402</v>
      </c>
      <c r="E150">
        <v>690.923</v>
      </c>
      <c r="F150">
        <v>902.417</v>
      </c>
      <c r="G150">
        <v>760.6</v>
      </c>
      <c r="H150">
        <v>718.5</v>
      </c>
      <c r="I150">
        <v>737.655</v>
      </c>
      <c r="J150">
        <v>726.738</v>
      </c>
      <c r="S150">
        <f t="shared" si="30"/>
        <v>148</v>
      </c>
      <c r="U150">
        <f t="shared" si="21"/>
        <v>70.4003000000006</v>
      </c>
      <c r="V150">
        <f t="shared" si="22"/>
        <v>-437.221286254021</v>
      </c>
      <c r="W150">
        <f t="shared" si="23"/>
        <v>59.077</v>
      </c>
      <c r="X150">
        <f t="shared" si="24"/>
        <v>-152.417</v>
      </c>
      <c r="Y150">
        <f t="shared" si="25"/>
        <v>-10.6</v>
      </c>
      <c r="Z150">
        <f t="shared" si="26"/>
        <v>31.5</v>
      </c>
      <c r="AA150">
        <f t="shared" si="27"/>
        <v>12.345</v>
      </c>
      <c r="AB150">
        <f t="shared" si="28"/>
        <v>23.2619999999999</v>
      </c>
    </row>
    <row r="151" spans="1:28">
      <c r="A151">
        <f t="shared" si="29"/>
        <v>149</v>
      </c>
      <c r="B151">
        <v>2321</v>
      </c>
      <c r="C151">
        <v>3161.1708</v>
      </c>
      <c r="D151">
        <v>1965.30618530927</v>
      </c>
      <c r="E151">
        <v>3191.964</v>
      </c>
      <c r="F151">
        <v>2626.346</v>
      </c>
      <c r="G151">
        <v>2405</v>
      </c>
      <c r="H151">
        <v>3118</v>
      </c>
      <c r="I151">
        <v>2474.972</v>
      </c>
      <c r="J151">
        <v>2164.256</v>
      </c>
      <c r="S151">
        <f t="shared" si="30"/>
        <v>149</v>
      </c>
      <c r="U151">
        <f t="shared" si="21"/>
        <v>-840.1708</v>
      </c>
      <c r="V151">
        <f t="shared" si="22"/>
        <v>355.693814690727</v>
      </c>
      <c r="W151">
        <f t="shared" si="23"/>
        <v>-870.964</v>
      </c>
      <c r="X151">
        <f t="shared" si="24"/>
        <v>-305.346</v>
      </c>
      <c r="Y151">
        <f t="shared" si="25"/>
        <v>-84</v>
      </c>
      <c r="Z151">
        <f t="shared" si="26"/>
        <v>-797</v>
      </c>
      <c r="AA151">
        <f t="shared" si="27"/>
        <v>-153.972</v>
      </c>
      <c r="AB151">
        <f t="shared" si="28"/>
        <v>156.744</v>
      </c>
    </row>
    <row r="152" spans="1:28">
      <c r="A152">
        <f t="shared" si="29"/>
        <v>150</v>
      </c>
      <c r="B152">
        <v>5540</v>
      </c>
      <c r="C152">
        <v>5140.3755</v>
      </c>
      <c r="D152">
        <v>4956.88612819857</v>
      </c>
      <c r="E152">
        <v>4896.954</v>
      </c>
      <c r="F152">
        <v>5420.134</v>
      </c>
      <c r="G152">
        <v>5510</v>
      </c>
      <c r="H152">
        <v>5477.545</v>
      </c>
      <c r="I152">
        <v>5514.553</v>
      </c>
      <c r="J152">
        <v>5353.439</v>
      </c>
      <c r="S152">
        <f t="shared" si="30"/>
        <v>150</v>
      </c>
      <c r="U152">
        <f t="shared" si="21"/>
        <v>399.624499999999</v>
      </c>
      <c r="V152">
        <f t="shared" si="22"/>
        <v>583.113871801427</v>
      </c>
      <c r="W152">
        <f t="shared" si="23"/>
        <v>643.046</v>
      </c>
      <c r="X152">
        <f t="shared" si="24"/>
        <v>119.866</v>
      </c>
      <c r="Y152">
        <f t="shared" si="25"/>
        <v>30</v>
      </c>
      <c r="Z152">
        <f t="shared" si="26"/>
        <v>62.4549999999999</v>
      </c>
      <c r="AA152">
        <f t="shared" si="27"/>
        <v>25.4470000000001</v>
      </c>
      <c r="AB152">
        <f t="shared" si="28"/>
        <v>186.561</v>
      </c>
    </row>
    <row r="153" spans="1:28">
      <c r="A153">
        <f t="shared" si="29"/>
        <v>151</v>
      </c>
      <c r="B153">
        <v>5841</v>
      </c>
      <c r="C153">
        <v>6399.8694</v>
      </c>
      <c r="D153">
        <v>5881.79177201071</v>
      </c>
      <c r="E153">
        <v>5816.059</v>
      </c>
      <c r="F153">
        <v>5511.182</v>
      </c>
      <c r="G153">
        <v>5770.4</v>
      </c>
      <c r="H153">
        <v>5477.545</v>
      </c>
      <c r="I153">
        <v>5782.156</v>
      </c>
      <c r="J153">
        <v>5840.803</v>
      </c>
      <c r="S153">
        <f t="shared" si="30"/>
        <v>151</v>
      </c>
      <c r="U153">
        <f t="shared" si="21"/>
        <v>-558.8694</v>
      </c>
      <c r="V153">
        <f t="shared" si="22"/>
        <v>-40.7917720107134</v>
      </c>
      <c r="W153">
        <f t="shared" si="23"/>
        <v>24.9409999999998</v>
      </c>
      <c r="X153">
        <f t="shared" si="24"/>
        <v>329.818</v>
      </c>
      <c r="Y153">
        <f t="shared" si="25"/>
        <v>70.6000000000004</v>
      </c>
      <c r="Z153">
        <f t="shared" si="26"/>
        <v>363.455</v>
      </c>
      <c r="AA153">
        <f t="shared" si="27"/>
        <v>58.8440000000001</v>
      </c>
      <c r="AB153">
        <f t="shared" si="28"/>
        <v>0.197000000000116</v>
      </c>
    </row>
    <row r="154" spans="1:28">
      <c r="A154">
        <f t="shared" si="29"/>
        <v>152</v>
      </c>
      <c r="B154">
        <v>1020</v>
      </c>
      <c r="C154">
        <v>610.4673</v>
      </c>
      <c r="D154">
        <v>1810.99504760894</v>
      </c>
      <c r="E154">
        <v>1208.206</v>
      </c>
      <c r="F154">
        <v>1174.556</v>
      </c>
      <c r="G154">
        <v>995.25</v>
      </c>
      <c r="H154">
        <v>1040.2</v>
      </c>
      <c r="I154">
        <v>996.451</v>
      </c>
      <c r="J154">
        <v>1127.175</v>
      </c>
      <c r="S154">
        <f t="shared" si="30"/>
        <v>152</v>
      </c>
      <c r="U154">
        <f t="shared" si="21"/>
        <v>409.5327</v>
      </c>
      <c r="V154">
        <f t="shared" si="22"/>
        <v>-790.995047608938</v>
      </c>
      <c r="W154">
        <f t="shared" si="23"/>
        <v>-188.206</v>
      </c>
      <c r="X154">
        <f t="shared" si="24"/>
        <v>-154.556</v>
      </c>
      <c r="Y154">
        <f t="shared" si="25"/>
        <v>24.75</v>
      </c>
      <c r="Z154">
        <f t="shared" si="26"/>
        <v>-20.2</v>
      </c>
      <c r="AA154">
        <f t="shared" si="27"/>
        <v>23.549</v>
      </c>
      <c r="AB154">
        <f t="shared" si="28"/>
        <v>-107.175</v>
      </c>
    </row>
    <row r="155" spans="1:28">
      <c r="A155">
        <f t="shared" si="29"/>
        <v>153</v>
      </c>
      <c r="B155">
        <v>2134</v>
      </c>
      <c r="C155">
        <v>1330.1781</v>
      </c>
      <c r="D155">
        <v>2254.00621039238</v>
      </c>
      <c r="E155">
        <v>1752.756</v>
      </c>
      <c r="F155">
        <v>2235.621</v>
      </c>
      <c r="G155">
        <v>2235.333</v>
      </c>
      <c r="H155">
        <v>2218.2</v>
      </c>
      <c r="I155">
        <v>1797.316</v>
      </c>
      <c r="J155">
        <v>1697.753</v>
      </c>
      <c r="S155">
        <f t="shared" si="30"/>
        <v>153</v>
      </c>
      <c r="U155">
        <f t="shared" si="21"/>
        <v>803.8219</v>
      </c>
      <c r="V155">
        <f t="shared" si="22"/>
        <v>-120.006210392376</v>
      </c>
      <c r="W155">
        <f t="shared" si="23"/>
        <v>381.244</v>
      </c>
      <c r="X155">
        <f t="shared" si="24"/>
        <v>-101.621</v>
      </c>
      <c r="Y155">
        <f t="shared" si="25"/>
        <v>-101.333</v>
      </c>
      <c r="Z155">
        <f t="shared" si="26"/>
        <v>-84.1999999999998</v>
      </c>
      <c r="AA155">
        <f t="shared" si="27"/>
        <v>336.684</v>
      </c>
      <c r="AB155">
        <f t="shared" si="28"/>
        <v>436.247</v>
      </c>
    </row>
    <row r="156" spans="1:28">
      <c r="A156">
        <f t="shared" si="29"/>
        <v>154</v>
      </c>
      <c r="B156">
        <v>3247</v>
      </c>
      <c r="C156">
        <v>3129.4551</v>
      </c>
      <c r="D156">
        <v>2976.94252795835</v>
      </c>
      <c r="E156">
        <v>3114.133</v>
      </c>
      <c r="F156">
        <v>3119.552</v>
      </c>
      <c r="G156">
        <v>3286.75</v>
      </c>
      <c r="H156">
        <v>3040.667</v>
      </c>
      <c r="I156">
        <v>3273.015</v>
      </c>
      <c r="J156">
        <v>3130.395</v>
      </c>
      <c r="S156">
        <f t="shared" si="30"/>
        <v>154</v>
      </c>
      <c r="U156">
        <f t="shared" si="21"/>
        <v>117.5449</v>
      </c>
      <c r="V156">
        <f t="shared" si="22"/>
        <v>270.057472041655</v>
      </c>
      <c r="W156">
        <f t="shared" si="23"/>
        <v>132.867</v>
      </c>
      <c r="X156">
        <f t="shared" si="24"/>
        <v>127.448</v>
      </c>
      <c r="Y156">
        <f t="shared" si="25"/>
        <v>-39.75</v>
      </c>
      <c r="Z156">
        <f t="shared" si="26"/>
        <v>206.333</v>
      </c>
      <c r="AA156">
        <f t="shared" si="27"/>
        <v>-26.0149999999999</v>
      </c>
      <c r="AB156">
        <f t="shared" si="28"/>
        <v>116.605</v>
      </c>
    </row>
    <row r="157" spans="1:28">
      <c r="A157">
        <f t="shared" si="29"/>
        <v>155</v>
      </c>
      <c r="B157">
        <v>6302</v>
      </c>
      <c r="C157">
        <v>6778.29705</v>
      </c>
      <c r="D157">
        <v>6394.23413312726</v>
      </c>
      <c r="E157">
        <v>6832.227</v>
      </c>
      <c r="F157">
        <v>6546.963</v>
      </c>
      <c r="G157">
        <v>7422</v>
      </c>
      <c r="H157">
        <v>7248.667</v>
      </c>
      <c r="I157">
        <v>6813.335</v>
      </c>
      <c r="J157">
        <v>6704.867</v>
      </c>
      <c r="S157">
        <f t="shared" si="30"/>
        <v>155</v>
      </c>
      <c r="U157">
        <f t="shared" si="21"/>
        <v>-476.29705</v>
      </c>
      <c r="V157">
        <f t="shared" si="22"/>
        <v>-92.2341331272628</v>
      </c>
      <c r="W157">
        <f t="shared" si="23"/>
        <v>-530.227</v>
      </c>
      <c r="X157">
        <f t="shared" si="24"/>
        <v>-244.963</v>
      </c>
      <c r="Y157">
        <f t="shared" si="25"/>
        <v>-1120</v>
      </c>
      <c r="Z157">
        <f t="shared" si="26"/>
        <v>-946.667</v>
      </c>
      <c r="AA157">
        <f t="shared" si="27"/>
        <v>-511.335</v>
      </c>
      <c r="AB157">
        <f t="shared" si="28"/>
        <v>-402.867</v>
      </c>
    </row>
    <row r="158" spans="1:28">
      <c r="A158">
        <f t="shared" si="29"/>
        <v>156</v>
      </c>
      <c r="B158">
        <v>9550</v>
      </c>
      <c r="C158">
        <v>8037.79095</v>
      </c>
      <c r="D158">
        <v>8858.10897657742</v>
      </c>
      <c r="E158">
        <v>8792.898</v>
      </c>
      <c r="F158">
        <v>9451.765</v>
      </c>
      <c r="G158">
        <v>9631</v>
      </c>
      <c r="H158">
        <v>9853.824</v>
      </c>
      <c r="I158">
        <v>9456.761</v>
      </c>
      <c r="J158">
        <v>9605.022</v>
      </c>
      <c r="S158">
        <f t="shared" si="30"/>
        <v>156</v>
      </c>
      <c r="U158">
        <f t="shared" si="21"/>
        <v>1512.20905</v>
      </c>
      <c r="V158">
        <f t="shared" si="22"/>
        <v>691.891023422582</v>
      </c>
      <c r="W158">
        <f t="shared" si="23"/>
        <v>757.102000000001</v>
      </c>
      <c r="X158">
        <f t="shared" si="24"/>
        <v>98.2350000000006</v>
      </c>
      <c r="Y158">
        <f t="shared" si="25"/>
        <v>-81</v>
      </c>
      <c r="Z158">
        <f t="shared" si="26"/>
        <v>-303.824000000001</v>
      </c>
      <c r="AA158">
        <f t="shared" si="27"/>
        <v>93.2389999999996</v>
      </c>
      <c r="AB158">
        <f t="shared" si="28"/>
        <v>-55.0220000000008</v>
      </c>
    </row>
    <row r="159" spans="1:28">
      <c r="A159">
        <f t="shared" si="29"/>
        <v>157</v>
      </c>
      <c r="B159">
        <v>9642</v>
      </c>
      <c r="C159">
        <v>8397.64635</v>
      </c>
      <c r="D159">
        <v>9381.34873357847</v>
      </c>
      <c r="E159">
        <v>9134.663</v>
      </c>
      <c r="F159">
        <v>9417.021</v>
      </c>
      <c r="G159">
        <v>9631</v>
      </c>
      <c r="H159">
        <v>9853.824</v>
      </c>
      <c r="I159">
        <v>9588.878</v>
      </c>
      <c r="J159">
        <v>9877.365</v>
      </c>
      <c r="S159">
        <f t="shared" si="30"/>
        <v>157</v>
      </c>
      <c r="U159">
        <f t="shared" si="21"/>
        <v>1244.35365</v>
      </c>
      <c r="V159">
        <f t="shared" si="22"/>
        <v>260.651266421528</v>
      </c>
      <c r="W159">
        <f t="shared" si="23"/>
        <v>507.337</v>
      </c>
      <c r="X159">
        <f t="shared" si="24"/>
        <v>224.978999999999</v>
      </c>
      <c r="Y159">
        <f t="shared" si="25"/>
        <v>11</v>
      </c>
      <c r="Z159">
        <f t="shared" si="26"/>
        <v>-211.824000000001</v>
      </c>
      <c r="AA159">
        <f t="shared" si="27"/>
        <v>53.1219999999994</v>
      </c>
      <c r="AB159">
        <f t="shared" si="28"/>
        <v>-235.365</v>
      </c>
    </row>
    <row r="160" spans="1:28">
      <c r="A160">
        <f t="shared" si="29"/>
        <v>158</v>
      </c>
      <c r="B160">
        <v>932</v>
      </c>
      <c r="C160">
        <v>2788.17195</v>
      </c>
      <c r="D160">
        <v>1777.55522607415</v>
      </c>
      <c r="E160">
        <v>1204.119</v>
      </c>
      <c r="F160">
        <v>1246.655</v>
      </c>
      <c r="G160">
        <v>1007.5</v>
      </c>
      <c r="H160">
        <v>1206.833</v>
      </c>
      <c r="I160">
        <v>997.154</v>
      </c>
      <c r="J160">
        <v>28.291</v>
      </c>
      <c r="S160">
        <f t="shared" si="30"/>
        <v>158</v>
      </c>
      <c r="U160">
        <f t="shared" si="21"/>
        <v>-1856.17195</v>
      </c>
      <c r="V160">
        <f t="shared" si="22"/>
        <v>-845.555226074153</v>
      </c>
      <c r="W160">
        <f t="shared" si="23"/>
        <v>-272.119</v>
      </c>
      <c r="X160">
        <f t="shared" si="24"/>
        <v>-314.655</v>
      </c>
      <c r="Y160">
        <f t="shared" si="25"/>
        <v>-75.5</v>
      </c>
      <c r="Z160">
        <f t="shared" si="26"/>
        <v>-274.833</v>
      </c>
      <c r="AA160">
        <f t="shared" si="27"/>
        <v>-65.154</v>
      </c>
      <c r="AB160">
        <f t="shared" si="28"/>
        <v>903.709</v>
      </c>
    </row>
    <row r="161" spans="1:28">
      <c r="A161">
        <f t="shared" si="29"/>
        <v>159</v>
      </c>
      <c r="B161">
        <v>2075</v>
      </c>
      <c r="C161">
        <v>3687.81045</v>
      </c>
      <c r="D161">
        <v>3463.60600352064</v>
      </c>
      <c r="E161">
        <v>2473.105</v>
      </c>
      <c r="F161">
        <v>2506.941</v>
      </c>
      <c r="G161">
        <v>2220</v>
      </c>
      <c r="H161">
        <v>2814.5</v>
      </c>
      <c r="I161">
        <v>1713.611</v>
      </c>
      <c r="J161">
        <v>2039.331</v>
      </c>
      <c r="S161">
        <f t="shared" si="30"/>
        <v>159</v>
      </c>
      <c r="U161">
        <f t="shared" si="21"/>
        <v>-1612.81045</v>
      </c>
      <c r="V161">
        <f t="shared" si="22"/>
        <v>-1388.60600352064</v>
      </c>
      <c r="W161">
        <f t="shared" si="23"/>
        <v>-398.105</v>
      </c>
      <c r="X161">
        <f t="shared" si="24"/>
        <v>-431.941</v>
      </c>
      <c r="Y161">
        <f t="shared" si="25"/>
        <v>-145</v>
      </c>
      <c r="Z161">
        <f t="shared" si="26"/>
        <v>-739.5</v>
      </c>
      <c r="AA161">
        <f t="shared" si="27"/>
        <v>361.389</v>
      </c>
      <c r="AB161">
        <f t="shared" si="28"/>
        <v>35.6690000000001</v>
      </c>
    </row>
    <row r="162" spans="1:28">
      <c r="A162">
        <f t="shared" si="29"/>
        <v>160</v>
      </c>
      <c r="B162">
        <v>5275</v>
      </c>
      <c r="C162">
        <v>4947.30435</v>
      </c>
      <c r="D162">
        <v>4618.95510657736</v>
      </c>
      <c r="E162">
        <v>4683.749</v>
      </c>
      <c r="F162">
        <v>5387.23</v>
      </c>
      <c r="G162">
        <v>5315.5</v>
      </c>
      <c r="H162">
        <v>5417.333</v>
      </c>
      <c r="I162">
        <v>5059.269</v>
      </c>
      <c r="J162">
        <v>4939.542</v>
      </c>
      <c r="S162">
        <f t="shared" si="30"/>
        <v>160</v>
      </c>
      <c r="U162">
        <f t="shared" si="21"/>
        <v>327.695650000001</v>
      </c>
      <c r="V162">
        <f t="shared" si="22"/>
        <v>656.044893422636</v>
      </c>
      <c r="W162">
        <f t="shared" si="23"/>
        <v>591.251</v>
      </c>
      <c r="X162">
        <f t="shared" si="24"/>
        <v>-112.23</v>
      </c>
      <c r="Y162">
        <f t="shared" si="25"/>
        <v>-40.5</v>
      </c>
      <c r="Z162">
        <f t="shared" si="26"/>
        <v>-142.333</v>
      </c>
      <c r="AA162">
        <f t="shared" si="27"/>
        <v>215.731</v>
      </c>
      <c r="AB162">
        <f t="shared" si="28"/>
        <v>335.458</v>
      </c>
    </row>
    <row r="163" spans="1:28">
      <c r="A163">
        <f t="shared" si="29"/>
        <v>161</v>
      </c>
      <c r="B163">
        <v>5767</v>
      </c>
      <c r="C163">
        <v>5487.08745</v>
      </c>
      <c r="D163">
        <v>4990.18288676726</v>
      </c>
      <c r="E163">
        <v>5415.695</v>
      </c>
      <c r="F163">
        <v>5877.35</v>
      </c>
      <c r="G163">
        <v>6379.8</v>
      </c>
      <c r="H163">
        <v>6456.8</v>
      </c>
      <c r="I163">
        <v>5804.54</v>
      </c>
      <c r="J163">
        <v>5801.466</v>
      </c>
      <c r="S163">
        <f t="shared" si="30"/>
        <v>161</v>
      </c>
      <c r="U163">
        <f t="shared" si="21"/>
        <v>279.91255</v>
      </c>
      <c r="V163">
        <f t="shared" si="22"/>
        <v>776.817113232735</v>
      </c>
      <c r="W163">
        <f t="shared" si="23"/>
        <v>351.305</v>
      </c>
      <c r="X163">
        <f t="shared" si="24"/>
        <v>-110.35</v>
      </c>
      <c r="Y163">
        <f t="shared" si="25"/>
        <v>-612.8</v>
      </c>
      <c r="Z163">
        <f t="shared" si="26"/>
        <v>-689.8</v>
      </c>
      <c r="AA163">
        <f t="shared" si="27"/>
        <v>-37.54</v>
      </c>
      <c r="AB163">
        <f t="shared" si="28"/>
        <v>-34.4660000000003</v>
      </c>
    </row>
    <row r="164" spans="1:28">
      <c r="A164">
        <f t="shared" si="29"/>
        <v>162</v>
      </c>
      <c r="B164">
        <v>5896</v>
      </c>
      <c r="C164">
        <v>6736.40415</v>
      </c>
      <c r="D164">
        <v>6144.19707019546</v>
      </c>
      <c r="E164">
        <v>6581.162</v>
      </c>
      <c r="F164">
        <v>6246.954</v>
      </c>
      <c r="G164">
        <v>6602</v>
      </c>
      <c r="H164">
        <v>5040.2</v>
      </c>
      <c r="I164">
        <v>6095.658</v>
      </c>
      <c r="J164">
        <v>6340.834</v>
      </c>
      <c r="S164">
        <f t="shared" si="30"/>
        <v>162</v>
      </c>
      <c r="U164">
        <f t="shared" si="21"/>
        <v>-840.404149999999</v>
      </c>
      <c r="V164">
        <f t="shared" si="22"/>
        <v>-248.197070195462</v>
      </c>
      <c r="W164">
        <f t="shared" si="23"/>
        <v>-685.162</v>
      </c>
      <c r="X164">
        <f t="shared" si="24"/>
        <v>-350.954</v>
      </c>
      <c r="Y164">
        <f t="shared" si="25"/>
        <v>-706</v>
      </c>
      <c r="Z164">
        <f t="shared" si="26"/>
        <v>855.8</v>
      </c>
      <c r="AA164">
        <f t="shared" si="27"/>
        <v>-199.658</v>
      </c>
      <c r="AB164">
        <f t="shared" si="28"/>
        <v>-444.834</v>
      </c>
    </row>
    <row r="165" spans="1:28">
      <c r="A165">
        <f t="shared" si="29"/>
        <v>163</v>
      </c>
      <c r="B165">
        <v>9165</v>
      </c>
      <c r="C165">
        <v>7636.04265</v>
      </c>
      <c r="D165">
        <v>8309.64631752688</v>
      </c>
      <c r="E165">
        <v>8323.474</v>
      </c>
      <c r="F165">
        <v>8710.879</v>
      </c>
      <c r="G165">
        <v>9074</v>
      </c>
      <c r="H165">
        <v>8914.6</v>
      </c>
      <c r="I165">
        <v>9562.24</v>
      </c>
      <c r="J165">
        <v>9056.656</v>
      </c>
      <c r="S165">
        <f t="shared" si="30"/>
        <v>163</v>
      </c>
      <c r="U165">
        <f t="shared" si="21"/>
        <v>1528.95735</v>
      </c>
      <c r="V165">
        <f t="shared" si="22"/>
        <v>855.353682473122</v>
      </c>
      <c r="W165">
        <f t="shared" si="23"/>
        <v>841.526</v>
      </c>
      <c r="X165">
        <f t="shared" si="24"/>
        <v>454.120999999999</v>
      </c>
      <c r="Y165">
        <f t="shared" si="25"/>
        <v>91</v>
      </c>
      <c r="Z165">
        <f t="shared" si="26"/>
        <v>250.4</v>
      </c>
      <c r="AA165">
        <f t="shared" si="27"/>
        <v>-397.24</v>
      </c>
      <c r="AB165">
        <f t="shared" si="28"/>
        <v>108.343999999999</v>
      </c>
    </row>
    <row r="166" spans="1:28">
      <c r="A166">
        <f t="shared" si="29"/>
        <v>164</v>
      </c>
      <c r="B166">
        <v>9987</v>
      </c>
      <c r="C166">
        <v>8895.53655</v>
      </c>
      <c r="D166">
        <v>10294.6554741666</v>
      </c>
      <c r="E166">
        <v>9656.477</v>
      </c>
      <c r="F166">
        <v>9751.109</v>
      </c>
      <c r="G166">
        <v>9902</v>
      </c>
      <c r="H166">
        <v>9853.824</v>
      </c>
      <c r="I166">
        <v>9950.597</v>
      </c>
      <c r="J166">
        <v>10331.104</v>
      </c>
      <c r="S166">
        <f t="shared" si="30"/>
        <v>164</v>
      </c>
      <c r="U166">
        <f t="shared" si="21"/>
        <v>1091.46345</v>
      </c>
      <c r="V166">
        <f t="shared" si="22"/>
        <v>-307.655474166575</v>
      </c>
      <c r="W166">
        <f t="shared" si="23"/>
        <v>330.522999999999</v>
      </c>
      <c r="X166">
        <f t="shared" si="24"/>
        <v>235.891</v>
      </c>
      <c r="Y166">
        <f t="shared" si="25"/>
        <v>85</v>
      </c>
      <c r="Z166">
        <f t="shared" si="26"/>
        <v>133.175999999999</v>
      </c>
      <c r="AA166">
        <f t="shared" si="27"/>
        <v>36.4030000000002</v>
      </c>
      <c r="AB166">
        <f t="shared" si="28"/>
        <v>-344.103999999999</v>
      </c>
    </row>
    <row r="167" spans="1:28">
      <c r="A167">
        <f t="shared" si="29"/>
        <v>165</v>
      </c>
      <c r="B167">
        <v>10058</v>
      </c>
      <c r="C167">
        <v>9255.39195</v>
      </c>
      <c r="D167">
        <v>10756.1259587721</v>
      </c>
      <c r="E167">
        <v>9998.242</v>
      </c>
      <c r="F167">
        <v>9932.25</v>
      </c>
      <c r="G167">
        <v>10150.667</v>
      </c>
      <c r="H167">
        <v>9853.824</v>
      </c>
      <c r="I167">
        <v>10077.82</v>
      </c>
      <c r="J167">
        <v>10275.006</v>
      </c>
      <c r="S167">
        <f t="shared" si="30"/>
        <v>165</v>
      </c>
      <c r="U167">
        <f t="shared" si="21"/>
        <v>802.608049999999</v>
      </c>
      <c r="V167">
        <f t="shared" si="22"/>
        <v>-698.125958772103</v>
      </c>
      <c r="W167">
        <f t="shared" si="23"/>
        <v>59.7579999999998</v>
      </c>
      <c r="X167">
        <f t="shared" si="24"/>
        <v>125.75</v>
      </c>
      <c r="Y167">
        <f t="shared" si="25"/>
        <v>-92.6669999999995</v>
      </c>
      <c r="Z167">
        <f t="shared" si="26"/>
        <v>204.175999999999</v>
      </c>
      <c r="AA167">
        <f t="shared" si="27"/>
        <v>-19.8199999999997</v>
      </c>
      <c r="AB167">
        <f t="shared" si="28"/>
        <v>-217.005999999999</v>
      </c>
    </row>
    <row r="168" spans="1:28">
      <c r="A168">
        <f t="shared" si="29"/>
        <v>166</v>
      </c>
      <c r="B168">
        <v>2375</v>
      </c>
      <c r="C168">
        <v>3825.84525</v>
      </c>
      <c r="D168">
        <v>3616.46813620106</v>
      </c>
      <c r="E168">
        <v>2725.272</v>
      </c>
      <c r="F168">
        <v>2643.385</v>
      </c>
      <c r="G168">
        <v>2520</v>
      </c>
      <c r="H168">
        <v>2814.5</v>
      </c>
      <c r="I168">
        <v>1947.731</v>
      </c>
      <c r="J168">
        <v>2401.976</v>
      </c>
      <c r="S168">
        <f t="shared" si="30"/>
        <v>166</v>
      </c>
      <c r="U168">
        <f t="shared" si="21"/>
        <v>-1450.84525</v>
      </c>
      <c r="V168">
        <f t="shared" si="22"/>
        <v>-1241.46813620106</v>
      </c>
      <c r="W168">
        <f t="shared" si="23"/>
        <v>-350.272</v>
      </c>
      <c r="X168">
        <f t="shared" si="24"/>
        <v>-268.385</v>
      </c>
      <c r="Y168">
        <f t="shared" si="25"/>
        <v>-145</v>
      </c>
      <c r="Z168">
        <f t="shared" si="26"/>
        <v>-439.5</v>
      </c>
      <c r="AA168">
        <f t="shared" si="27"/>
        <v>427.269</v>
      </c>
      <c r="AB168">
        <f t="shared" si="28"/>
        <v>-26.9760000000001</v>
      </c>
    </row>
    <row r="169" spans="1:28">
      <c r="A169">
        <f t="shared" si="29"/>
        <v>167</v>
      </c>
      <c r="B169">
        <v>5575</v>
      </c>
      <c r="C169">
        <v>5085.33915</v>
      </c>
      <c r="D169">
        <v>4822.80719819196</v>
      </c>
      <c r="E169">
        <v>4922.663</v>
      </c>
      <c r="F169">
        <v>5660.438</v>
      </c>
      <c r="G169">
        <v>5621</v>
      </c>
      <c r="H169">
        <v>5417.333</v>
      </c>
      <c r="I169">
        <v>5332.387</v>
      </c>
      <c r="J169">
        <v>5102.596</v>
      </c>
      <c r="S169">
        <f t="shared" si="30"/>
        <v>167</v>
      </c>
      <c r="U169">
        <f t="shared" si="21"/>
        <v>489.660850000001</v>
      </c>
      <c r="V169">
        <f t="shared" si="22"/>
        <v>752.192801808043</v>
      </c>
      <c r="W169">
        <f t="shared" si="23"/>
        <v>652.337</v>
      </c>
      <c r="X169">
        <f t="shared" si="24"/>
        <v>-85.4380000000001</v>
      </c>
      <c r="Y169">
        <f t="shared" si="25"/>
        <v>-46</v>
      </c>
      <c r="Z169">
        <f t="shared" si="26"/>
        <v>157.667</v>
      </c>
      <c r="AA169">
        <f t="shared" si="27"/>
        <v>242.613</v>
      </c>
      <c r="AB169">
        <f t="shared" si="28"/>
        <v>472.404</v>
      </c>
    </row>
    <row r="170" spans="1:28">
      <c r="A170">
        <f t="shared" si="29"/>
        <v>168</v>
      </c>
      <c r="B170">
        <v>6565</v>
      </c>
      <c r="C170">
        <v>5805.04995</v>
      </c>
      <c r="D170">
        <v>5329.3577486671</v>
      </c>
      <c r="E170">
        <v>5898.59</v>
      </c>
      <c r="F170">
        <v>6684.256</v>
      </c>
      <c r="G170">
        <v>6675.5</v>
      </c>
      <c r="H170">
        <v>6456.8</v>
      </c>
      <c r="I170">
        <v>6233.653</v>
      </c>
      <c r="J170">
        <v>6246.463</v>
      </c>
      <c r="S170">
        <f t="shared" si="30"/>
        <v>168</v>
      </c>
      <c r="U170">
        <f t="shared" si="21"/>
        <v>759.95005</v>
      </c>
      <c r="V170">
        <f t="shared" si="22"/>
        <v>1235.6422513329</v>
      </c>
      <c r="W170">
        <f t="shared" si="23"/>
        <v>666.41</v>
      </c>
      <c r="X170">
        <f t="shared" si="24"/>
        <v>-119.256</v>
      </c>
      <c r="Y170">
        <f t="shared" si="25"/>
        <v>-110.5</v>
      </c>
      <c r="Z170">
        <f t="shared" si="26"/>
        <v>108.2</v>
      </c>
      <c r="AA170">
        <f t="shared" si="27"/>
        <v>331.347</v>
      </c>
      <c r="AB170">
        <f t="shared" si="28"/>
        <v>318.537</v>
      </c>
    </row>
    <row r="171" spans="1:28">
      <c r="A171">
        <f t="shared" si="29"/>
        <v>169</v>
      </c>
      <c r="B171">
        <v>2037</v>
      </c>
      <c r="C171">
        <v>1071.1708</v>
      </c>
      <c r="D171">
        <v>816.911965034833</v>
      </c>
      <c r="E171">
        <v>1828.946</v>
      </c>
      <c r="F171">
        <v>1924.718</v>
      </c>
      <c r="G171">
        <v>2150.556</v>
      </c>
      <c r="H171">
        <v>2141.5</v>
      </c>
      <c r="I171">
        <v>2136.65</v>
      </c>
      <c r="J171">
        <v>2046.663</v>
      </c>
      <c r="S171">
        <f t="shared" si="30"/>
        <v>169</v>
      </c>
      <c r="U171">
        <f t="shared" si="21"/>
        <v>965.8292</v>
      </c>
      <c r="V171">
        <f t="shared" si="22"/>
        <v>1220.08803496517</v>
      </c>
      <c r="W171">
        <f t="shared" si="23"/>
        <v>208.054</v>
      </c>
      <c r="X171">
        <f t="shared" si="24"/>
        <v>112.282</v>
      </c>
      <c r="Y171">
        <f t="shared" si="25"/>
        <v>-113.556</v>
      </c>
      <c r="Z171">
        <f t="shared" si="26"/>
        <v>-104.5</v>
      </c>
      <c r="AA171">
        <f t="shared" si="27"/>
        <v>-99.6500000000001</v>
      </c>
      <c r="AB171">
        <f t="shared" si="28"/>
        <v>-9.66300000000001</v>
      </c>
    </row>
    <row r="172" spans="1:28">
      <c r="A172">
        <f t="shared" si="29"/>
        <v>170</v>
      </c>
      <c r="B172">
        <v>2126</v>
      </c>
      <c r="C172">
        <v>1970.8093</v>
      </c>
      <c r="D172">
        <v>1591.77118378006</v>
      </c>
      <c r="E172">
        <v>2122.466</v>
      </c>
      <c r="F172">
        <v>2159.69</v>
      </c>
      <c r="G172">
        <v>2150.556</v>
      </c>
      <c r="H172">
        <v>2141.5</v>
      </c>
      <c r="I172">
        <v>2126.465</v>
      </c>
      <c r="J172">
        <v>2131.302</v>
      </c>
      <c r="S172">
        <f t="shared" si="30"/>
        <v>170</v>
      </c>
      <c r="U172">
        <f t="shared" si="21"/>
        <v>155.190700000001</v>
      </c>
      <c r="V172">
        <f t="shared" si="22"/>
        <v>534.228816219938</v>
      </c>
      <c r="W172">
        <f t="shared" si="23"/>
        <v>3.53400000000011</v>
      </c>
      <c r="X172">
        <f t="shared" si="24"/>
        <v>-33.6900000000001</v>
      </c>
      <c r="Y172">
        <f t="shared" si="25"/>
        <v>-24.556</v>
      </c>
      <c r="Z172">
        <f t="shared" si="26"/>
        <v>-15.5</v>
      </c>
      <c r="AA172">
        <f t="shared" si="27"/>
        <v>-0.465000000000146</v>
      </c>
      <c r="AB172">
        <f t="shared" si="28"/>
        <v>-5.30200000000013</v>
      </c>
    </row>
    <row r="173" spans="1:28">
      <c r="A173">
        <f t="shared" si="29"/>
        <v>171</v>
      </c>
      <c r="B173">
        <v>2245</v>
      </c>
      <c r="C173">
        <v>3410.2309</v>
      </c>
      <c r="D173">
        <v>2182.11804016466</v>
      </c>
      <c r="E173">
        <v>2592.098</v>
      </c>
      <c r="F173">
        <v>2486.316</v>
      </c>
      <c r="G173">
        <v>5658.5</v>
      </c>
      <c r="H173">
        <v>2366</v>
      </c>
      <c r="I173">
        <v>2246.841</v>
      </c>
      <c r="J173">
        <v>2250.275</v>
      </c>
      <c r="S173">
        <f t="shared" si="30"/>
        <v>171</v>
      </c>
      <c r="U173">
        <f t="shared" si="21"/>
        <v>-1165.2309</v>
      </c>
      <c r="V173">
        <f t="shared" si="22"/>
        <v>62.881959835343</v>
      </c>
      <c r="W173">
        <f t="shared" si="23"/>
        <v>-347.098</v>
      </c>
      <c r="X173">
        <f t="shared" si="24"/>
        <v>-241.316</v>
      </c>
      <c r="Y173">
        <f t="shared" si="25"/>
        <v>-3413.5</v>
      </c>
      <c r="Z173">
        <f t="shared" si="26"/>
        <v>-121</v>
      </c>
      <c r="AA173">
        <f t="shared" si="27"/>
        <v>-1.84099999999989</v>
      </c>
      <c r="AB173">
        <f t="shared" si="28"/>
        <v>-5.27500000000009</v>
      </c>
    </row>
    <row r="174" spans="1:28">
      <c r="A174">
        <f t="shared" si="29"/>
        <v>172</v>
      </c>
      <c r="B174">
        <v>2272</v>
      </c>
      <c r="C174">
        <v>3590.1586</v>
      </c>
      <c r="D174">
        <v>2238.89401367581</v>
      </c>
      <c r="E174">
        <v>2650.802</v>
      </c>
      <c r="F174">
        <v>2625.346</v>
      </c>
      <c r="G174">
        <v>5658.5</v>
      </c>
      <c r="H174">
        <v>2366</v>
      </c>
      <c r="I174">
        <v>2272.993</v>
      </c>
      <c r="J174">
        <v>2267.329</v>
      </c>
      <c r="S174">
        <f t="shared" si="30"/>
        <v>172</v>
      </c>
      <c r="U174">
        <f t="shared" si="21"/>
        <v>-1318.1586</v>
      </c>
      <c r="V174">
        <f t="shared" si="22"/>
        <v>33.1059863241944</v>
      </c>
      <c r="W174">
        <f t="shared" si="23"/>
        <v>-378.802</v>
      </c>
      <c r="X174">
        <f t="shared" si="24"/>
        <v>-353.346</v>
      </c>
      <c r="Y174">
        <f t="shared" si="25"/>
        <v>-3386.5</v>
      </c>
      <c r="Z174">
        <f t="shared" si="26"/>
        <v>-94</v>
      </c>
      <c r="AA174">
        <f t="shared" si="27"/>
        <v>-0.992999999999938</v>
      </c>
      <c r="AB174">
        <f t="shared" si="28"/>
        <v>4.67099999999982</v>
      </c>
    </row>
    <row r="175" spans="1:28">
      <c r="A175">
        <f t="shared" si="29"/>
        <v>173</v>
      </c>
      <c r="B175">
        <v>510</v>
      </c>
      <c r="C175">
        <v>-1659.4604</v>
      </c>
      <c r="D175">
        <v>692.759901720693</v>
      </c>
      <c r="E175">
        <v>-72.229</v>
      </c>
      <c r="F175">
        <v>645.12</v>
      </c>
      <c r="G175">
        <v>576.333</v>
      </c>
      <c r="H175">
        <v>540.333</v>
      </c>
      <c r="I175">
        <v>484.892</v>
      </c>
      <c r="J175">
        <v>503.924</v>
      </c>
      <c r="S175">
        <f t="shared" si="30"/>
        <v>173</v>
      </c>
      <c r="U175">
        <f t="shared" si="21"/>
        <v>2169.4604</v>
      </c>
      <c r="V175">
        <f t="shared" si="22"/>
        <v>-182.759901720693</v>
      </c>
      <c r="W175">
        <f t="shared" si="23"/>
        <v>582.229</v>
      </c>
      <c r="X175">
        <f t="shared" si="24"/>
        <v>-135.12</v>
      </c>
      <c r="Y175">
        <f t="shared" si="25"/>
        <v>-66.333</v>
      </c>
      <c r="Z175">
        <f t="shared" si="26"/>
        <v>-30.333</v>
      </c>
      <c r="AA175">
        <f t="shared" si="27"/>
        <v>25.108</v>
      </c>
      <c r="AB175">
        <f t="shared" si="28"/>
        <v>6.07600000000002</v>
      </c>
    </row>
    <row r="176" spans="1:28">
      <c r="A176">
        <f t="shared" si="29"/>
        <v>174</v>
      </c>
      <c r="B176">
        <v>637</v>
      </c>
      <c r="C176">
        <v>-579.8942</v>
      </c>
      <c r="D176">
        <v>974.396328242242</v>
      </c>
      <c r="E176">
        <v>279.995</v>
      </c>
      <c r="F176">
        <v>909.234</v>
      </c>
      <c r="G176">
        <v>576.333</v>
      </c>
      <c r="H176">
        <v>718.5</v>
      </c>
      <c r="I176">
        <v>627.59</v>
      </c>
      <c r="J176">
        <v>611.068</v>
      </c>
      <c r="S176">
        <f t="shared" si="30"/>
        <v>174</v>
      </c>
      <c r="U176">
        <f t="shared" si="21"/>
        <v>1216.8942</v>
      </c>
      <c r="V176">
        <f t="shared" si="22"/>
        <v>-337.396328242242</v>
      </c>
      <c r="W176">
        <f t="shared" si="23"/>
        <v>357.005</v>
      </c>
      <c r="X176">
        <f t="shared" si="24"/>
        <v>-272.234</v>
      </c>
      <c r="Y176">
        <f t="shared" si="25"/>
        <v>60.667</v>
      </c>
      <c r="Z176">
        <f t="shared" si="26"/>
        <v>-81.5</v>
      </c>
      <c r="AA176">
        <f t="shared" si="27"/>
        <v>9.40999999999997</v>
      </c>
      <c r="AB176">
        <f t="shared" si="28"/>
        <v>25.932</v>
      </c>
    </row>
    <row r="177" spans="1:28">
      <c r="A177">
        <f t="shared" si="29"/>
        <v>175</v>
      </c>
      <c r="B177">
        <v>646</v>
      </c>
      <c r="C177">
        <v>-220.038800000001</v>
      </c>
      <c r="D177">
        <v>1042.83304175221</v>
      </c>
      <c r="E177">
        <v>397.403</v>
      </c>
      <c r="F177">
        <v>726.321</v>
      </c>
      <c r="G177">
        <v>576.333</v>
      </c>
      <c r="H177">
        <v>718.5</v>
      </c>
      <c r="I177">
        <v>640.341</v>
      </c>
      <c r="J177">
        <v>649.445</v>
      </c>
      <c r="S177">
        <f t="shared" si="30"/>
        <v>175</v>
      </c>
      <c r="U177">
        <f t="shared" si="21"/>
        <v>866.038800000001</v>
      </c>
      <c r="V177">
        <f t="shared" si="22"/>
        <v>-396.833041752213</v>
      </c>
      <c r="W177">
        <f t="shared" si="23"/>
        <v>248.597</v>
      </c>
      <c r="X177">
        <f t="shared" si="24"/>
        <v>-80.321</v>
      </c>
      <c r="Y177">
        <f t="shared" si="25"/>
        <v>69.667</v>
      </c>
      <c r="Z177">
        <f t="shared" si="26"/>
        <v>-72.5</v>
      </c>
      <c r="AA177">
        <f t="shared" si="27"/>
        <v>5.65899999999999</v>
      </c>
      <c r="AB177">
        <f t="shared" si="28"/>
        <v>-3.44500000000005</v>
      </c>
    </row>
    <row r="178" spans="1:28">
      <c r="A178">
        <f t="shared" si="29"/>
        <v>176</v>
      </c>
      <c r="B178">
        <v>780</v>
      </c>
      <c r="C178">
        <v>1399.3105</v>
      </c>
      <c r="D178">
        <v>1284.39245543827</v>
      </c>
      <c r="E178">
        <v>925.739</v>
      </c>
      <c r="F178">
        <v>1160.29</v>
      </c>
      <c r="G178">
        <v>760.6</v>
      </c>
      <c r="H178">
        <v>718.5</v>
      </c>
      <c r="I178">
        <v>785.535</v>
      </c>
      <c r="J178">
        <v>805.657</v>
      </c>
      <c r="O178">
        <v>120</v>
      </c>
      <c r="P178">
        <v>-4000</v>
      </c>
      <c r="S178">
        <f t="shared" si="30"/>
        <v>176</v>
      </c>
      <c r="U178">
        <f t="shared" si="21"/>
        <v>-619.310499999999</v>
      </c>
      <c r="V178">
        <f t="shared" si="22"/>
        <v>-504.392455438272</v>
      </c>
      <c r="W178">
        <f t="shared" si="23"/>
        <v>-145.739</v>
      </c>
      <c r="X178">
        <f t="shared" si="24"/>
        <v>-380.29</v>
      </c>
      <c r="Y178">
        <f t="shared" si="25"/>
        <v>19.4</v>
      </c>
      <c r="Z178">
        <f t="shared" si="26"/>
        <v>61.5</v>
      </c>
      <c r="AA178">
        <f t="shared" si="27"/>
        <v>-5.53499999999997</v>
      </c>
      <c r="AB178">
        <f t="shared" si="28"/>
        <v>-25.657</v>
      </c>
    </row>
    <row r="179" spans="15:16">
      <c r="O179">
        <v>120</v>
      </c>
      <c r="P179">
        <v>4000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7"/>
  <sheetViews>
    <sheetView topLeftCell="AI6" workbookViewId="0">
      <selection activeCell="AQ26" sqref="AQ26"/>
    </sheetView>
  </sheetViews>
  <sheetFormatPr defaultColWidth="9" defaultRowHeight="14.4"/>
  <sheetData>
    <row r="1" spans="1:27">
      <c r="A1" t="s">
        <v>5</v>
      </c>
      <c r="B1" t="s">
        <v>6</v>
      </c>
      <c r="C1" t="s">
        <v>5</v>
      </c>
      <c r="D1" t="s">
        <v>7</v>
      </c>
      <c r="E1" t="s">
        <v>5</v>
      </c>
      <c r="F1" t="s">
        <v>8</v>
      </c>
      <c r="G1" t="s">
        <v>5</v>
      </c>
      <c r="H1" t="s">
        <v>9</v>
      </c>
      <c r="I1" t="s">
        <v>5</v>
      </c>
      <c r="J1" t="s">
        <v>10</v>
      </c>
      <c r="K1" t="s">
        <v>5</v>
      </c>
      <c r="L1" t="s">
        <v>11</v>
      </c>
      <c r="M1" t="s">
        <v>5</v>
      </c>
      <c r="N1" t="s">
        <v>12</v>
      </c>
      <c r="O1" t="s">
        <v>5</v>
      </c>
      <c r="P1" t="s">
        <v>13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</row>
    <row r="2" spans="1:31">
      <c r="A2">
        <v>4731</v>
      </c>
      <c r="B2">
        <v>4240.737</v>
      </c>
      <c r="C2">
        <v>4731</v>
      </c>
      <c r="D2">
        <v>4055.64435075936</v>
      </c>
      <c r="E2">
        <v>4731</v>
      </c>
      <c r="F2">
        <v>4083.744</v>
      </c>
      <c r="G2">
        <v>4731</v>
      </c>
      <c r="H2">
        <v>4198.843</v>
      </c>
      <c r="I2">
        <v>4731</v>
      </c>
      <c r="J2">
        <v>4858</v>
      </c>
      <c r="K2">
        <v>4731</v>
      </c>
      <c r="L2">
        <v>3118</v>
      </c>
      <c r="M2">
        <v>4731</v>
      </c>
      <c r="N2">
        <v>4116.903</v>
      </c>
      <c r="O2">
        <v>4731</v>
      </c>
      <c r="P2">
        <v>4207.634</v>
      </c>
      <c r="S2">
        <v>4731</v>
      </c>
      <c r="T2">
        <v>4240.737</v>
      </c>
      <c r="U2">
        <v>4055.64435075936</v>
      </c>
      <c r="V2">
        <v>4083.744</v>
      </c>
      <c r="W2">
        <v>4198.843</v>
      </c>
      <c r="X2">
        <v>4858</v>
      </c>
      <c r="Y2">
        <v>3118</v>
      </c>
      <c r="Z2">
        <v>4116.903</v>
      </c>
      <c r="AA2">
        <v>4207.634</v>
      </c>
      <c r="AE2" t="s">
        <v>257</v>
      </c>
    </row>
    <row r="3" spans="1:27">
      <c r="A3">
        <v>5584</v>
      </c>
      <c r="B3">
        <v>5320.3032</v>
      </c>
      <c r="C3">
        <v>5584</v>
      </c>
      <c r="D3">
        <v>5106.82363476884</v>
      </c>
      <c r="E3">
        <v>5584</v>
      </c>
      <c r="F3">
        <v>5028.255</v>
      </c>
      <c r="G3">
        <v>5584</v>
      </c>
      <c r="H3">
        <v>5541.423</v>
      </c>
      <c r="I3">
        <v>5584</v>
      </c>
      <c r="J3">
        <v>5510</v>
      </c>
      <c r="K3">
        <v>5584</v>
      </c>
      <c r="L3">
        <v>5477.545</v>
      </c>
      <c r="M3">
        <v>5584</v>
      </c>
      <c r="N3">
        <v>5605.271</v>
      </c>
      <c r="O3">
        <v>5584</v>
      </c>
      <c r="P3">
        <v>5495.978</v>
      </c>
      <c r="S3">
        <v>5584</v>
      </c>
      <c r="T3">
        <v>5320.3032</v>
      </c>
      <c r="U3">
        <v>5106.82363476884</v>
      </c>
      <c r="V3">
        <v>5028.255</v>
      </c>
      <c r="W3">
        <v>5541.423</v>
      </c>
      <c r="X3">
        <v>5510</v>
      </c>
      <c r="Y3">
        <v>5477.545</v>
      </c>
      <c r="Z3">
        <v>5605.271</v>
      </c>
      <c r="AA3">
        <v>5495.978</v>
      </c>
    </row>
    <row r="4" ht="15.15" spans="1:31">
      <c r="A4">
        <v>5845</v>
      </c>
      <c r="B4">
        <v>6579.7971</v>
      </c>
      <c r="C4">
        <v>5845</v>
      </c>
      <c r="D4">
        <v>5995.19257411214</v>
      </c>
      <c r="E4">
        <v>5845</v>
      </c>
      <c r="F4">
        <v>5947.359</v>
      </c>
      <c r="G4">
        <v>5845</v>
      </c>
      <c r="H4">
        <v>5482.86</v>
      </c>
      <c r="I4">
        <v>5845</v>
      </c>
      <c r="J4">
        <v>5770.4</v>
      </c>
      <c r="K4">
        <v>5845</v>
      </c>
      <c r="L4">
        <v>5477.545</v>
      </c>
      <c r="M4">
        <v>5845</v>
      </c>
      <c r="N4">
        <v>5817.523</v>
      </c>
      <c r="O4">
        <v>5845</v>
      </c>
      <c r="P4">
        <v>5838.348</v>
      </c>
      <c r="S4">
        <v>5845</v>
      </c>
      <c r="T4">
        <v>6579.7971</v>
      </c>
      <c r="U4">
        <v>5995.19257411214</v>
      </c>
      <c r="V4">
        <v>5947.359</v>
      </c>
      <c r="W4">
        <v>5482.86</v>
      </c>
      <c r="X4">
        <v>5770.4</v>
      </c>
      <c r="Y4">
        <v>5477.545</v>
      </c>
      <c r="Z4">
        <v>5817.523</v>
      </c>
      <c r="AA4">
        <v>5838.348</v>
      </c>
      <c r="AE4" t="s">
        <v>258</v>
      </c>
    </row>
    <row r="5" spans="1:35">
      <c r="A5">
        <v>932</v>
      </c>
      <c r="B5">
        <v>-109.2435</v>
      </c>
      <c r="C5">
        <v>932</v>
      </c>
      <c r="D5">
        <v>994.697498702289</v>
      </c>
      <c r="E5">
        <v>932</v>
      </c>
      <c r="F5">
        <v>663.655</v>
      </c>
      <c r="G5">
        <v>932</v>
      </c>
      <c r="H5">
        <v>995.224</v>
      </c>
      <c r="I5">
        <v>932</v>
      </c>
      <c r="J5">
        <v>995.25</v>
      </c>
      <c r="K5">
        <v>932</v>
      </c>
      <c r="L5">
        <v>1040.2</v>
      </c>
      <c r="M5">
        <v>932</v>
      </c>
      <c r="N5">
        <v>1076.169</v>
      </c>
      <c r="O5">
        <v>932</v>
      </c>
      <c r="P5">
        <v>774.405</v>
      </c>
      <c r="S5">
        <v>932</v>
      </c>
      <c r="T5">
        <v>-109.2435</v>
      </c>
      <c r="U5">
        <v>994.697498702289</v>
      </c>
      <c r="V5">
        <v>663.655</v>
      </c>
      <c r="W5">
        <v>995.224</v>
      </c>
      <c r="X5">
        <v>995.25</v>
      </c>
      <c r="Y5">
        <v>1040.2</v>
      </c>
      <c r="Z5">
        <v>1076.169</v>
      </c>
      <c r="AA5">
        <v>774.405</v>
      </c>
      <c r="AE5" s="1" t="s">
        <v>259</v>
      </c>
      <c r="AF5" s="1" t="s">
        <v>23</v>
      </c>
      <c r="AG5" s="1" t="s">
        <v>29</v>
      </c>
      <c r="AH5" s="1" t="s">
        <v>260</v>
      </c>
      <c r="AI5" s="1" t="s">
        <v>261</v>
      </c>
    </row>
    <row r="6" spans="1:35">
      <c r="A6">
        <v>1670</v>
      </c>
      <c r="B6">
        <v>1150.2504</v>
      </c>
      <c r="C6">
        <v>1670</v>
      </c>
      <c r="D6">
        <v>2157.30249548605</v>
      </c>
      <c r="E6">
        <v>1670</v>
      </c>
      <c r="F6">
        <v>1616.619</v>
      </c>
      <c r="G6">
        <v>1670</v>
      </c>
      <c r="H6">
        <v>1694.618</v>
      </c>
      <c r="I6">
        <v>1670</v>
      </c>
      <c r="J6">
        <v>1220</v>
      </c>
      <c r="K6">
        <v>1670</v>
      </c>
      <c r="L6">
        <v>1040.2</v>
      </c>
      <c r="M6">
        <v>1670</v>
      </c>
      <c r="N6">
        <v>1567.063</v>
      </c>
      <c r="O6">
        <v>1670</v>
      </c>
      <c r="P6">
        <v>1542.733</v>
      </c>
      <c r="S6">
        <v>1670</v>
      </c>
      <c r="T6">
        <v>1150.2504</v>
      </c>
      <c r="U6">
        <v>2157.30249548605</v>
      </c>
      <c r="V6">
        <v>1616.619</v>
      </c>
      <c r="W6">
        <v>1694.618</v>
      </c>
      <c r="X6">
        <v>1220</v>
      </c>
      <c r="Y6">
        <v>1040.2</v>
      </c>
      <c r="Z6">
        <v>1567.063</v>
      </c>
      <c r="AA6">
        <v>1542.733</v>
      </c>
      <c r="AE6" s="2" t="s">
        <v>5</v>
      </c>
      <c r="AF6" s="2">
        <v>56</v>
      </c>
      <c r="AG6" s="2">
        <v>238343</v>
      </c>
      <c r="AH6" s="2">
        <v>4256.125</v>
      </c>
      <c r="AI6" s="2">
        <v>10044583.6386364</v>
      </c>
    </row>
    <row r="7" spans="1:35">
      <c r="A7">
        <v>3211</v>
      </c>
      <c r="B7">
        <v>2949.5274</v>
      </c>
      <c r="C7">
        <v>3211</v>
      </c>
      <c r="D7">
        <v>2917.61812529833</v>
      </c>
      <c r="E7">
        <v>3211</v>
      </c>
      <c r="F7">
        <v>2977.995</v>
      </c>
      <c r="G7">
        <v>3211</v>
      </c>
      <c r="H7">
        <v>3082.936</v>
      </c>
      <c r="I7">
        <v>3211</v>
      </c>
      <c r="J7">
        <v>3286.75</v>
      </c>
      <c r="K7">
        <v>3211</v>
      </c>
      <c r="L7">
        <v>3040.667</v>
      </c>
      <c r="M7">
        <v>3211</v>
      </c>
      <c r="N7">
        <v>3147.444</v>
      </c>
      <c r="O7">
        <v>3211</v>
      </c>
      <c r="P7">
        <v>3020.613</v>
      </c>
      <c r="S7">
        <v>3211</v>
      </c>
      <c r="T7">
        <v>2949.5274</v>
      </c>
      <c r="U7">
        <v>2917.61812529833</v>
      </c>
      <c r="V7">
        <v>2977.995</v>
      </c>
      <c r="W7">
        <v>3082.936</v>
      </c>
      <c r="X7">
        <v>3286.75</v>
      </c>
      <c r="Y7">
        <v>3040.667</v>
      </c>
      <c r="Z7">
        <v>3147.444</v>
      </c>
      <c r="AA7">
        <v>3020.613</v>
      </c>
      <c r="AE7" s="2" t="s">
        <v>6</v>
      </c>
      <c r="AF7" s="2">
        <v>56</v>
      </c>
      <c r="AG7" s="2">
        <v>235169.64435</v>
      </c>
      <c r="AH7" s="2">
        <v>4199.45793482143</v>
      </c>
      <c r="AI7" s="2">
        <v>9083957.51400253</v>
      </c>
    </row>
    <row r="8" spans="1:35">
      <c r="A8">
        <v>3321</v>
      </c>
      <c r="B8">
        <v>6058.58625</v>
      </c>
      <c r="C8">
        <v>3321</v>
      </c>
      <c r="D8">
        <v>3512.06299914296</v>
      </c>
      <c r="E8">
        <v>3321</v>
      </c>
      <c r="F8">
        <v>5494.926</v>
      </c>
      <c r="G8">
        <v>3321</v>
      </c>
      <c r="H8">
        <v>4478.333</v>
      </c>
      <c r="I8">
        <v>3321</v>
      </c>
      <c r="J8">
        <v>4205</v>
      </c>
      <c r="K8">
        <v>3321</v>
      </c>
      <c r="L8">
        <v>5040.2</v>
      </c>
      <c r="M8">
        <v>3321</v>
      </c>
      <c r="N8">
        <v>3650.419</v>
      </c>
      <c r="O8">
        <v>3321</v>
      </c>
      <c r="P8">
        <v>3855.779</v>
      </c>
      <c r="S8">
        <v>3321</v>
      </c>
      <c r="T8">
        <v>6058.58625</v>
      </c>
      <c r="U8">
        <v>3512.06299914296</v>
      </c>
      <c r="V8">
        <v>5494.926</v>
      </c>
      <c r="W8">
        <v>4478.333</v>
      </c>
      <c r="X8">
        <v>4205</v>
      </c>
      <c r="Y8">
        <v>5040.2</v>
      </c>
      <c r="Z8">
        <v>3650.419</v>
      </c>
      <c r="AA8">
        <v>3855.779</v>
      </c>
      <c r="AE8" s="2" t="s">
        <v>7</v>
      </c>
      <c r="AF8" s="2">
        <v>56</v>
      </c>
      <c r="AG8" s="2">
        <v>239204.37791257</v>
      </c>
      <c r="AH8" s="2">
        <v>4271.50674843874</v>
      </c>
      <c r="AI8" s="2">
        <v>8985764.76028379</v>
      </c>
    </row>
    <row r="9" spans="1:35">
      <c r="A9">
        <v>8865</v>
      </c>
      <c r="B9">
        <v>7498.00785</v>
      </c>
      <c r="C9">
        <v>8865</v>
      </c>
      <c r="D9">
        <v>7958.41129759069</v>
      </c>
      <c r="E9">
        <v>8865</v>
      </c>
      <c r="F9">
        <v>8157.115</v>
      </c>
      <c r="G9">
        <v>8865</v>
      </c>
      <c r="H9">
        <v>8404.95</v>
      </c>
      <c r="I9">
        <v>8865</v>
      </c>
      <c r="J9">
        <v>8808.333</v>
      </c>
      <c r="K9">
        <v>8865</v>
      </c>
      <c r="L9">
        <v>8914.6</v>
      </c>
      <c r="M9">
        <v>8865</v>
      </c>
      <c r="N9">
        <v>9068.397</v>
      </c>
      <c r="O9">
        <v>8865</v>
      </c>
      <c r="P9">
        <v>8749.407</v>
      </c>
      <c r="S9">
        <v>8865</v>
      </c>
      <c r="T9">
        <v>7498.00785</v>
      </c>
      <c r="U9">
        <v>7958.41129759069</v>
      </c>
      <c r="V9">
        <v>8157.115</v>
      </c>
      <c r="W9">
        <v>8404.95</v>
      </c>
      <c r="X9">
        <v>8808.333</v>
      </c>
      <c r="Y9">
        <v>8914.6</v>
      </c>
      <c r="Z9">
        <v>9068.397</v>
      </c>
      <c r="AA9">
        <v>8749.407</v>
      </c>
      <c r="AE9" s="2" t="s">
        <v>8</v>
      </c>
      <c r="AF9" s="2">
        <v>56</v>
      </c>
      <c r="AG9" s="2">
        <v>236483.644</v>
      </c>
      <c r="AH9" s="2">
        <v>4222.92221428571</v>
      </c>
      <c r="AI9" s="2">
        <v>9252586.83191294</v>
      </c>
    </row>
    <row r="10" spans="1:35">
      <c r="A10">
        <v>9758</v>
      </c>
      <c r="B10">
        <v>9117.35715</v>
      </c>
      <c r="C10">
        <v>9758</v>
      </c>
      <c r="D10">
        <v>10301.4822866826</v>
      </c>
      <c r="E10">
        <v>9758</v>
      </c>
      <c r="F10">
        <v>9818.192</v>
      </c>
      <c r="G10">
        <v>9758</v>
      </c>
      <c r="H10">
        <v>9682.471</v>
      </c>
      <c r="I10">
        <v>9758</v>
      </c>
      <c r="J10">
        <v>9849.5</v>
      </c>
      <c r="K10">
        <v>9758</v>
      </c>
      <c r="L10">
        <v>9853.824</v>
      </c>
      <c r="M10">
        <v>9758</v>
      </c>
      <c r="N10">
        <v>9786.966</v>
      </c>
      <c r="O10">
        <v>9758</v>
      </c>
      <c r="P10">
        <v>9910.702</v>
      </c>
      <c r="S10">
        <v>9758</v>
      </c>
      <c r="T10">
        <v>9117.35715</v>
      </c>
      <c r="U10">
        <v>10301.4822866826</v>
      </c>
      <c r="V10">
        <v>9818.192</v>
      </c>
      <c r="W10">
        <v>9682.471</v>
      </c>
      <c r="X10">
        <v>9849.5</v>
      </c>
      <c r="Y10">
        <v>9853.824</v>
      </c>
      <c r="Z10">
        <v>9786.966</v>
      </c>
      <c r="AA10">
        <v>9910.702</v>
      </c>
      <c r="AE10" s="2" t="s">
        <v>9</v>
      </c>
      <c r="AF10" s="2">
        <v>56</v>
      </c>
      <c r="AG10" s="2">
        <v>243090.875</v>
      </c>
      <c r="AH10" s="2">
        <v>4340.90848214286</v>
      </c>
      <c r="AI10" s="2">
        <v>9284455.75536646</v>
      </c>
    </row>
    <row r="11" spans="1:35">
      <c r="A11">
        <v>944</v>
      </c>
      <c r="B11">
        <v>2968.09965</v>
      </c>
      <c r="C11">
        <v>944</v>
      </c>
      <c r="D11">
        <v>2300.89310419864</v>
      </c>
      <c r="E11">
        <v>944</v>
      </c>
      <c r="F11">
        <v>1457.916</v>
      </c>
      <c r="G11">
        <v>944</v>
      </c>
      <c r="H11">
        <v>1242.233</v>
      </c>
      <c r="I11">
        <v>944</v>
      </c>
      <c r="J11">
        <v>1007.5</v>
      </c>
      <c r="K11">
        <v>944</v>
      </c>
      <c r="L11">
        <v>1206.833</v>
      </c>
      <c r="M11">
        <v>944</v>
      </c>
      <c r="N11">
        <v>935.723</v>
      </c>
      <c r="O11">
        <v>944</v>
      </c>
      <c r="P11">
        <v>380.91</v>
      </c>
      <c r="S11">
        <v>944</v>
      </c>
      <c r="T11">
        <v>2968.09965</v>
      </c>
      <c r="U11">
        <v>2300.89310419864</v>
      </c>
      <c r="V11">
        <v>1457.916</v>
      </c>
      <c r="W11">
        <v>1242.233</v>
      </c>
      <c r="X11">
        <v>1007.5</v>
      </c>
      <c r="Y11">
        <v>1206.833</v>
      </c>
      <c r="Z11">
        <v>935.723</v>
      </c>
      <c r="AA11">
        <v>380.91</v>
      </c>
      <c r="AE11" s="2" t="s">
        <v>10</v>
      </c>
      <c r="AF11" s="2">
        <v>56</v>
      </c>
      <c r="AG11" s="2">
        <v>249952.422</v>
      </c>
      <c r="AH11" s="2">
        <v>4463.43610714286</v>
      </c>
      <c r="AI11" s="2">
        <v>10201293.4971968</v>
      </c>
    </row>
    <row r="12" spans="1:46">
      <c r="A12">
        <v>1175</v>
      </c>
      <c r="B12">
        <v>3507.88275</v>
      </c>
      <c r="C12">
        <v>1175</v>
      </c>
      <c r="D12">
        <v>3236.30421859054</v>
      </c>
      <c r="E12">
        <v>1175</v>
      </c>
      <c r="F12">
        <v>2219.308</v>
      </c>
      <c r="G12">
        <v>1175</v>
      </c>
      <c r="H12">
        <v>1550.135</v>
      </c>
      <c r="I12">
        <v>1175</v>
      </c>
      <c r="J12">
        <v>1007.5</v>
      </c>
      <c r="K12">
        <v>1175</v>
      </c>
      <c r="L12">
        <v>1206.833</v>
      </c>
      <c r="M12">
        <v>1175</v>
      </c>
      <c r="N12">
        <v>1332.426</v>
      </c>
      <c r="O12">
        <v>1175</v>
      </c>
      <c r="P12">
        <v>1599.495</v>
      </c>
      <c r="S12">
        <v>1175</v>
      </c>
      <c r="T12">
        <v>3507.88275</v>
      </c>
      <c r="U12">
        <v>3236.30421859054</v>
      </c>
      <c r="V12">
        <v>2219.308</v>
      </c>
      <c r="W12">
        <v>1550.135</v>
      </c>
      <c r="X12">
        <v>1007.5</v>
      </c>
      <c r="Y12">
        <v>1206.833</v>
      </c>
      <c r="Z12">
        <v>1332.426</v>
      </c>
      <c r="AA12">
        <v>1599.495</v>
      </c>
      <c r="AE12" s="2" t="s">
        <v>11</v>
      </c>
      <c r="AF12" s="2">
        <v>56</v>
      </c>
      <c r="AG12" s="2">
        <v>240289.679</v>
      </c>
      <c r="AH12" s="2">
        <v>4290.887125</v>
      </c>
      <c r="AI12" s="2">
        <v>9790038.3199092</v>
      </c>
      <c r="AN12" s="4" t="s">
        <v>262</v>
      </c>
      <c r="AO12" s="4" t="s">
        <v>263</v>
      </c>
      <c r="AP12" s="4" t="s">
        <v>264</v>
      </c>
      <c r="AQ12" s="4" t="s">
        <v>265</v>
      </c>
      <c r="AR12" s="4" t="s">
        <v>224</v>
      </c>
      <c r="AS12" s="4" t="s">
        <v>266</v>
      </c>
      <c r="AT12" s="4" t="s">
        <v>267</v>
      </c>
    </row>
    <row r="13" spans="1:46">
      <c r="A13">
        <v>4767</v>
      </c>
      <c r="B13">
        <v>4767.37665</v>
      </c>
      <c r="C13">
        <v>4767</v>
      </c>
      <c r="D13">
        <v>4483.34153125726</v>
      </c>
      <c r="E13">
        <v>4767</v>
      </c>
      <c r="F13">
        <v>4439.768</v>
      </c>
      <c r="G13">
        <v>4767</v>
      </c>
      <c r="H13">
        <v>4881.984</v>
      </c>
      <c r="I13">
        <v>4767</v>
      </c>
      <c r="J13">
        <v>4348</v>
      </c>
      <c r="K13">
        <v>4767</v>
      </c>
      <c r="L13">
        <v>4498</v>
      </c>
      <c r="M13">
        <v>4767</v>
      </c>
      <c r="N13">
        <v>4760.77</v>
      </c>
      <c r="O13">
        <v>4767</v>
      </c>
      <c r="P13">
        <v>4584.76</v>
      </c>
      <c r="S13">
        <v>4767</v>
      </c>
      <c r="T13">
        <v>4767.37665</v>
      </c>
      <c r="U13">
        <v>4483.34153125726</v>
      </c>
      <c r="V13">
        <v>4439.768</v>
      </c>
      <c r="W13">
        <v>4881.984</v>
      </c>
      <c r="X13">
        <v>4348</v>
      </c>
      <c r="Y13">
        <v>4498</v>
      </c>
      <c r="Z13">
        <v>4760.77</v>
      </c>
      <c r="AA13">
        <v>4584.76</v>
      </c>
      <c r="AE13" s="2" t="s">
        <v>12</v>
      </c>
      <c r="AF13" s="2">
        <v>56</v>
      </c>
      <c r="AG13" s="2">
        <v>238698.13</v>
      </c>
      <c r="AH13" s="2">
        <v>4262.46660714286</v>
      </c>
      <c r="AI13" s="2">
        <v>10285255.5750525</v>
      </c>
      <c r="AN13" s="5" t="s">
        <v>268</v>
      </c>
      <c r="AO13" s="5">
        <v>89912.375726819</v>
      </c>
      <c r="AP13" s="5">
        <v>1</v>
      </c>
      <c r="AQ13" s="5">
        <v>89912.375726819</v>
      </c>
      <c r="AR13" s="5">
        <v>0.00940086073572999</v>
      </c>
      <c r="AS13" s="5">
        <v>0.922936157371107</v>
      </c>
      <c r="AT13" s="5">
        <v>3.9273933926403</v>
      </c>
    </row>
    <row r="14" ht="15.15" spans="1:46">
      <c r="A14">
        <v>6311</v>
      </c>
      <c r="B14">
        <v>5846.94285</v>
      </c>
      <c r="C14">
        <v>6311</v>
      </c>
      <c r="D14">
        <v>5213.87391953717</v>
      </c>
      <c r="E14">
        <v>6311</v>
      </c>
      <c r="F14">
        <v>5903.659</v>
      </c>
      <c r="G14">
        <v>6311</v>
      </c>
      <c r="H14">
        <v>6357.364</v>
      </c>
      <c r="I14">
        <v>6311</v>
      </c>
      <c r="J14">
        <v>6379.8</v>
      </c>
      <c r="K14">
        <v>6311</v>
      </c>
      <c r="L14">
        <v>6456.8</v>
      </c>
      <c r="M14">
        <v>6311</v>
      </c>
      <c r="N14">
        <v>6225.816</v>
      </c>
      <c r="O14">
        <v>6311</v>
      </c>
      <c r="P14">
        <v>6189.157</v>
      </c>
      <c r="S14">
        <v>6311</v>
      </c>
      <c r="T14">
        <v>5846.94285</v>
      </c>
      <c r="U14">
        <v>5213.87391953717</v>
      </c>
      <c r="V14">
        <v>5903.659</v>
      </c>
      <c r="W14">
        <v>6357.364</v>
      </c>
      <c r="X14">
        <v>6379.8</v>
      </c>
      <c r="Y14">
        <v>6456.8</v>
      </c>
      <c r="Z14">
        <v>6225.816</v>
      </c>
      <c r="AA14">
        <v>6189.157</v>
      </c>
      <c r="AE14" s="3" t="s">
        <v>13</v>
      </c>
      <c r="AF14" s="3">
        <v>56</v>
      </c>
      <c r="AG14" s="3">
        <v>237323.516</v>
      </c>
      <c r="AH14" s="3">
        <v>4237.91992857143</v>
      </c>
      <c r="AI14" s="3">
        <v>10493002.7665326</v>
      </c>
      <c r="AN14" s="5" t="s">
        <v>269</v>
      </c>
      <c r="AO14" s="5">
        <v>6624.74918067455</v>
      </c>
      <c r="AP14" s="5">
        <v>1</v>
      </c>
      <c r="AQ14" s="5">
        <v>6624.74918067455</v>
      </c>
      <c r="AR14" s="5">
        <v>0.000696229941964748</v>
      </c>
      <c r="AS14" s="5">
        <v>0.978997135044063</v>
      </c>
      <c r="AT14" s="5">
        <v>3.9273933926403</v>
      </c>
    </row>
    <row r="15" spans="1:46">
      <c r="A15">
        <v>3621</v>
      </c>
      <c r="B15">
        <v>6196.62105</v>
      </c>
      <c r="C15">
        <v>3621</v>
      </c>
      <c r="D15">
        <v>3667.063723709</v>
      </c>
      <c r="E15">
        <v>3621</v>
      </c>
      <c r="F15">
        <v>5578.187</v>
      </c>
      <c r="G15">
        <v>3621</v>
      </c>
      <c r="H15">
        <v>4591.635</v>
      </c>
      <c r="I15">
        <v>3621</v>
      </c>
      <c r="J15">
        <v>4505</v>
      </c>
      <c r="K15">
        <v>3621</v>
      </c>
      <c r="L15">
        <v>5040.2</v>
      </c>
      <c r="M15">
        <v>3621</v>
      </c>
      <c r="N15">
        <v>4078.861</v>
      </c>
      <c r="O15">
        <v>3621</v>
      </c>
      <c r="P15">
        <v>4181.627</v>
      </c>
      <c r="S15">
        <v>3621</v>
      </c>
      <c r="T15">
        <v>6196.62105</v>
      </c>
      <c r="U15">
        <v>3667.063723709</v>
      </c>
      <c r="V15">
        <v>5578.187</v>
      </c>
      <c r="W15">
        <v>4591.635</v>
      </c>
      <c r="X15">
        <v>4505</v>
      </c>
      <c r="Y15">
        <v>5040.2</v>
      </c>
      <c r="Z15">
        <v>4078.861</v>
      </c>
      <c r="AA15">
        <v>4181.627</v>
      </c>
      <c r="AN15" s="5" t="s">
        <v>270</v>
      </c>
      <c r="AO15" s="5">
        <v>30867.8994174004</v>
      </c>
      <c r="AP15" s="5">
        <v>1</v>
      </c>
      <c r="AQ15" s="5">
        <v>30867.8994174004</v>
      </c>
      <c r="AR15" s="5">
        <v>0.00319921508332115</v>
      </c>
      <c r="AS15" s="5">
        <v>0.954997033577003</v>
      </c>
      <c r="AT15" s="5">
        <v>3.9273933926403</v>
      </c>
    </row>
    <row r="16" spans="1:46">
      <c r="A16">
        <v>9184</v>
      </c>
      <c r="B16">
        <v>7815.97035</v>
      </c>
      <c r="C16">
        <v>9184</v>
      </c>
      <c r="D16">
        <v>8642.07505417799</v>
      </c>
      <c r="E16">
        <v>9184</v>
      </c>
      <c r="F16">
        <v>8500.85</v>
      </c>
      <c r="G16">
        <v>9184</v>
      </c>
      <c r="H16">
        <v>9286.392</v>
      </c>
      <c r="I16">
        <v>9184</v>
      </c>
      <c r="J16">
        <v>9902</v>
      </c>
      <c r="K16">
        <v>9184</v>
      </c>
      <c r="L16">
        <v>8914.6</v>
      </c>
      <c r="M16">
        <v>9184</v>
      </c>
      <c r="N16">
        <v>9790.853</v>
      </c>
      <c r="O16">
        <v>9184</v>
      </c>
      <c r="P16">
        <v>9417.042</v>
      </c>
      <c r="S16">
        <v>9184</v>
      </c>
      <c r="T16">
        <v>7815.97035</v>
      </c>
      <c r="U16">
        <v>8642.07505417799</v>
      </c>
      <c r="V16">
        <v>8500.85</v>
      </c>
      <c r="W16">
        <v>9286.392</v>
      </c>
      <c r="X16">
        <v>9902</v>
      </c>
      <c r="Y16">
        <v>8914.6</v>
      </c>
      <c r="Z16">
        <v>9790.853</v>
      </c>
      <c r="AA16">
        <v>9417.042</v>
      </c>
      <c r="AN16" s="5" t="s">
        <v>271</v>
      </c>
      <c r="AO16" s="5">
        <v>201270.687639594</v>
      </c>
      <c r="AP16" s="5">
        <v>1</v>
      </c>
      <c r="AQ16" s="5">
        <v>201270.687639594</v>
      </c>
      <c r="AR16" s="5">
        <v>0.0208257310192085</v>
      </c>
      <c r="AS16" s="5">
        <v>0.885518775821335</v>
      </c>
      <c r="AT16" s="5">
        <v>3.9273933926403</v>
      </c>
    </row>
    <row r="17" ht="15.15" spans="1:46">
      <c r="A17">
        <v>9975</v>
      </c>
      <c r="B17">
        <v>8715.60885</v>
      </c>
      <c r="C17">
        <v>9975</v>
      </c>
      <c r="D17">
        <v>10050.2469913385</v>
      </c>
      <c r="E17">
        <v>9975</v>
      </c>
      <c r="F17">
        <v>9485.595</v>
      </c>
      <c r="G17">
        <v>9975</v>
      </c>
      <c r="H17">
        <v>9754.347</v>
      </c>
      <c r="I17">
        <v>9975</v>
      </c>
      <c r="J17">
        <v>9902</v>
      </c>
      <c r="K17">
        <v>9975</v>
      </c>
      <c r="L17">
        <v>9853.824</v>
      </c>
      <c r="M17">
        <v>9975</v>
      </c>
      <c r="N17">
        <v>9908.005</v>
      </c>
      <c r="O17">
        <v>9975</v>
      </c>
      <c r="P17">
        <v>10306.492</v>
      </c>
      <c r="S17">
        <v>9975</v>
      </c>
      <c r="T17">
        <v>8715.60885</v>
      </c>
      <c r="U17">
        <v>10050.2469913385</v>
      </c>
      <c r="V17">
        <v>9485.595</v>
      </c>
      <c r="W17">
        <v>9754.347</v>
      </c>
      <c r="X17">
        <v>9902</v>
      </c>
      <c r="Y17">
        <v>9853.824</v>
      </c>
      <c r="Z17">
        <v>9908.005</v>
      </c>
      <c r="AA17">
        <v>10306.492</v>
      </c>
      <c r="AE17" t="s">
        <v>272</v>
      </c>
      <c r="AN17" s="5" t="s">
        <v>273</v>
      </c>
      <c r="AO17" s="5">
        <v>1203381.06405449</v>
      </c>
      <c r="AP17" s="5">
        <v>1</v>
      </c>
      <c r="AQ17" s="5">
        <v>1203381.06405449</v>
      </c>
      <c r="AR17" s="5">
        <v>0.11887665384718</v>
      </c>
      <c r="AS17" s="5">
        <v>0.73091440628845</v>
      </c>
      <c r="AT17" s="5">
        <v>3.9273933926403</v>
      </c>
    </row>
    <row r="18" spans="1:46">
      <c r="A18">
        <v>10147</v>
      </c>
      <c r="B18">
        <v>9615.24735</v>
      </c>
      <c r="C18">
        <v>10147</v>
      </c>
      <c r="D18">
        <v>11186.426506726</v>
      </c>
      <c r="E18">
        <v>10147</v>
      </c>
      <c r="F18">
        <v>10340.006</v>
      </c>
      <c r="G18">
        <v>10147</v>
      </c>
      <c r="H18">
        <v>10066.605</v>
      </c>
      <c r="I18">
        <v>10147</v>
      </c>
      <c r="J18">
        <v>10150.667</v>
      </c>
      <c r="K18">
        <v>10147</v>
      </c>
      <c r="L18">
        <v>9853.824</v>
      </c>
      <c r="M18">
        <v>10147</v>
      </c>
      <c r="N18">
        <v>10171.906</v>
      </c>
      <c r="O18">
        <v>10147</v>
      </c>
      <c r="P18">
        <v>10122.364</v>
      </c>
      <c r="S18">
        <v>10147</v>
      </c>
      <c r="T18">
        <v>9615.24735</v>
      </c>
      <c r="U18">
        <v>11186.426506726</v>
      </c>
      <c r="V18">
        <v>10340.006</v>
      </c>
      <c r="W18">
        <v>10066.605</v>
      </c>
      <c r="X18">
        <v>10150.667</v>
      </c>
      <c r="Y18">
        <v>9853.824</v>
      </c>
      <c r="Z18">
        <v>10171.906</v>
      </c>
      <c r="AA18">
        <v>10122.364</v>
      </c>
      <c r="AE18" s="1" t="s">
        <v>262</v>
      </c>
      <c r="AF18" s="1" t="s">
        <v>263</v>
      </c>
      <c r="AG18" s="1" t="s">
        <v>264</v>
      </c>
      <c r="AH18" s="1" t="s">
        <v>265</v>
      </c>
      <c r="AI18" s="1" t="s">
        <v>224</v>
      </c>
      <c r="AJ18" s="1" t="s">
        <v>266</v>
      </c>
      <c r="AK18" s="1" t="s">
        <v>267</v>
      </c>
      <c r="AN18" s="5" t="s">
        <v>274</v>
      </c>
      <c r="AO18" s="5">
        <v>33835.3493657112</v>
      </c>
      <c r="AP18" s="5">
        <v>1</v>
      </c>
      <c r="AQ18" s="5">
        <v>33835.3493657112</v>
      </c>
      <c r="AR18" s="5">
        <v>0.00341174633289479</v>
      </c>
      <c r="AS18" s="5">
        <v>0.953527902683689</v>
      </c>
      <c r="AT18" s="5">
        <v>3.9273933926403</v>
      </c>
    </row>
    <row r="19" spans="1:46">
      <c r="A19">
        <v>1356</v>
      </c>
      <c r="B19">
        <v>3465.98985</v>
      </c>
      <c r="C19">
        <v>1356</v>
      </c>
      <c r="D19">
        <v>3109.7533315378</v>
      </c>
      <c r="E19">
        <v>1356</v>
      </c>
      <c r="F19">
        <v>2217.677</v>
      </c>
      <c r="G19">
        <v>1356</v>
      </c>
      <c r="H19">
        <v>1480.584</v>
      </c>
      <c r="I19">
        <v>1356</v>
      </c>
      <c r="J19">
        <v>1475</v>
      </c>
      <c r="K19">
        <v>1356</v>
      </c>
      <c r="L19">
        <v>1206.833</v>
      </c>
      <c r="M19">
        <v>1356</v>
      </c>
      <c r="N19">
        <v>1335.567</v>
      </c>
      <c r="O19">
        <v>1356</v>
      </c>
      <c r="P19">
        <v>1691.892</v>
      </c>
      <c r="S19">
        <v>1356</v>
      </c>
      <c r="T19">
        <v>3465.98985</v>
      </c>
      <c r="U19">
        <v>3109.7533315378</v>
      </c>
      <c r="V19">
        <v>2217.677</v>
      </c>
      <c r="W19">
        <v>1480.584</v>
      </c>
      <c r="X19">
        <v>1475</v>
      </c>
      <c r="Y19">
        <v>1206.833</v>
      </c>
      <c r="Z19">
        <v>1335.567</v>
      </c>
      <c r="AA19">
        <v>1691.892</v>
      </c>
      <c r="AE19" s="2" t="s">
        <v>275</v>
      </c>
      <c r="AN19" s="5" t="s">
        <v>276</v>
      </c>
      <c r="AO19" s="5">
        <v>1126.04747247696</v>
      </c>
      <c r="AP19" s="5">
        <v>1</v>
      </c>
      <c r="AQ19" s="5">
        <v>1126.04747247696</v>
      </c>
      <c r="AR19" s="5">
        <v>0.000110777804058455</v>
      </c>
      <c r="AS19" s="5">
        <v>0.991621402517952</v>
      </c>
      <c r="AT19" s="5">
        <v>3.9273933926403</v>
      </c>
    </row>
    <row r="20" spans="1:46">
      <c r="A20">
        <v>4876</v>
      </c>
      <c r="B20">
        <v>4905.41145</v>
      </c>
      <c r="C20">
        <v>4876</v>
      </c>
      <c r="D20">
        <v>4681.20847897189</v>
      </c>
      <c r="E20">
        <v>4876</v>
      </c>
      <c r="F20">
        <v>4678.681</v>
      </c>
      <c r="G20">
        <v>4876</v>
      </c>
      <c r="H20">
        <v>5131.119</v>
      </c>
      <c r="I20">
        <v>4876</v>
      </c>
      <c r="J20">
        <v>4648</v>
      </c>
      <c r="K20">
        <v>4876</v>
      </c>
      <c r="L20">
        <v>4498</v>
      </c>
      <c r="M20">
        <v>4876</v>
      </c>
      <c r="N20">
        <v>5058.15</v>
      </c>
      <c r="O20">
        <v>4876</v>
      </c>
      <c r="P20">
        <v>4745.788</v>
      </c>
      <c r="S20">
        <v>4876</v>
      </c>
      <c r="T20">
        <v>4905.41145</v>
      </c>
      <c r="U20">
        <v>4681.20847897189</v>
      </c>
      <c r="V20">
        <v>4678.681</v>
      </c>
      <c r="W20">
        <v>5131.119</v>
      </c>
      <c r="X20">
        <v>4648</v>
      </c>
      <c r="Y20">
        <v>4498</v>
      </c>
      <c r="Z20">
        <v>5058.15</v>
      </c>
      <c r="AA20">
        <v>4745.788</v>
      </c>
      <c r="AE20" s="2" t="s">
        <v>277</v>
      </c>
      <c r="AF20" s="2">
        <v>4808151626.23912</v>
      </c>
      <c r="AG20" s="2">
        <v>495</v>
      </c>
      <c r="AH20" s="2">
        <v>9713437.6287659</v>
      </c>
      <c r="AI20" s="2"/>
      <c r="AJ20" s="2"/>
      <c r="AK20" s="2"/>
      <c r="AN20" s="5" t="s">
        <v>278</v>
      </c>
      <c r="AO20" s="5">
        <v>9279.88951992989</v>
      </c>
      <c r="AP20" s="5">
        <v>1</v>
      </c>
      <c r="AQ20" s="5">
        <v>9279.88951992989</v>
      </c>
      <c r="AR20" s="5">
        <v>0.00090369815974036</v>
      </c>
      <c r="AS20" s="5">
        <v>0.976072422103341</v>
      </c>
      <c r="AT20" s="5">
        <v>3.9273933926403</v>
      </c>
    </row>
    <row r="21" spans="1:46">
      <c r="A21">
        <v>5610</v>
      </c>
      <c r="B21">
        <v>5265.26685</v>
      </c>
      <c r="C21">
        <v>5610</v>
      </c>
      <c r="D21">
        <v>4957.72284490318</v>
      </c>
      <c r="E21">
        <v>5610</v>
      </c>
      <c r="F21">
        <v>5166.645</v>
      </c>
      <c r="G21">
        <v>5610</v>
      </c>
      <c r="H21">
        <v>5832.738</v>
      </c>
      <c r="I21">
        <v>5610</v>
      </c>
      <c r="J21">
        <v>5621</v>
      </c>
      <c r="K21">
        <v>5610</v>
      </c>
      <c r="L21">
        <v>5417.333</v>
      </c>
      <c r="M21">
        <v>5610</v>
      </c>
      <c r="N21">
        <v>5555.89</v>
      </c>
      <c r="O21">
        <v>5610</v>
      </c>
      <c r="P21">
        <v>5434.95</v>
      </c>
      <c r="S21">
        <v>5610</v>
      </c>
      <c r="T21">
        <v>5265.26685</v>
      </c>
      <c r="U21">
        <v>4957.72284490318</v>
      </c>
      <c r="V21">
        <v>5166.645</v>
      </c>
      <c r="W21">
        <v>5832.738</v>
      </c>
      <c r="X21">
        <v>5621</v>
      </c>
      <c r="Y21">
        <v>5417.333</v>
      </c>
      <c r="Z21">
        <v>5555.89</v>
      </c>
      <c r="AA21">
        <v>5434.95</v>
      </c>
      <c r="AE21" s="2"/>
      <c r="AF21" s="2"/>
      <c r="AG21" s="2"/>
      <c r="AH21" s="2"/>
      <c r="AI21" s="2"/>
      <c r="AJ21" s="2"/>
      <c r="AK21" s="2"/>
      <c r="AN21" s="5" t="s">
        <v>279</v>
      </c>
      <c r="AO21" s="5">
        <v>2792685.82966423</v>
      </c>
      <c r="AP21" s="5">
        <v>8</v>
      </c>
      <c r="AQ21" s="5">
        <v>349085.728708029</v>
      </c>
      <c r="AR21" s="5">
        <v>0.0359384331324914</v>
      </c>
      <c r="AS21" s="5">
        <v>0.999983777090055</v>
      </c>
      <c r="AT21" s="5">
        <v>1.95710037118837</v>
      </c>
    </row>
    <row r="22" ht="15.15" spans="1:37">
      <c r="A22">
        <v>6734</v>
      </c>
      <c r="B22">
        <v>6524.76075</v>
      </c>
      <c r="C22">
        <v>6734</v>
      </c>
      <c r="D22">
        <v>5765.55269348073</v>
      </c>
      <c r="E22">
        <v>6734</v>
      </c>
      <c r="F22">
        <v>6874.518</v>
      </c>
      <c r="G22">
        <v>6734</v>
      </c>
      <c r="H22">
        <v>6750.165</v>
      </c>
      <c r="I22">
        <v>6734</v>
      </c>
      <c r="J22">
        <v>6675.5</v>
      </c>
      <c r="K22">
        <v>6734</v>
      </c>
      <c r="L22">
        <v>6456.8</v>
      </c>
      <c r="M22">
        <v>6734</v>
      </c>
      <c r="N22">
        <v>6779.913</v>
      </c>
      <c r="O22">
        <v>6734</v>
      </c>
      <c r="P22">
        <v>6820.012</v>
      </c>
      <c r="S22">
        <v>6734</v>
      </c>
      <c r="T22">
        <v>6524.76075</v>
      </c>
      <c r="U22">
        <v>5765.55269348073</v>
      </c>
      <c r="V22">
        <v>6874.518</v>
      </c>
      <c r="W22">
        <v>6750.165</v>
      </c>
      <c r="X22">
        <v>6675.5</v>
      </c>
      <c r="Y22">
        <v>6456.8</v>
      </c>
      <c r="Z22">
        <v>6779.913</v>
      </c>
      <c r="AA22">
        <v>6820.012</v>
      </c>
      <c r="AE22" s="3" t="s">
        <v>280</v>
      </c>
      <c r="AF22" s="3">
        <v>4810944312.06878</v>
      </c>
      <c r="AG22" s="3">
        <v>503</v>
      </c>
      <c r="AH22" s="3"/>
      <c r="AI22" s="3"/>
      <c r="AJ22" s="3"/>
      <c r="AK22" s="3"/>
    </row>
    <row r="23" spans="1:27">
      <c r="A23">
        <v>2110</v>
      </c>
      <c r="B23">
        <v>1431.0262</v>
      </c>
      <c r="C23">
        <v>2110</v>
      </c>
      <c r="D23">
        <v>1229.72300680954</v>
      </c>
      <c r="E23">
        <v>2110</v>
      </c>
      <c r="F23">
        <v>1946.354</v>
      </c>
      <c r="G23">
        <v>2110</v>
      </c>
      <c r="H23">
        <v>2220.681</v>
      </c>
      <c r="I23">
        <v>2110</v>
      </c>
      <c r="J23">
        <v>2150.556</v>
      </c>
      <c r="K23">
        <v>2110</v>
      </c>
      <c r="L23">
        <v>2141.5</v>
      </c>
      <c r="M23">
        <v>2110</v>
      </c>
      <c r="N23">
        <v>2102.651</v>
      </c>
      <c r="O23">
        <v>2110</v>
      </c>
      <c r="P23">
        <v>2077.801</v>
      </c>
      <c r="S23">
        <v>2110</v>
      </c>
      <c r="T23">
        <v>1431.0262</v>
      </c>
      <c r="U23">
        <v>1229.72300680954</v>
      </c>
      <c r="V23">
        <v>1946.354</v>
      </c>
      <c r="W23">
        <v>2220.681</v>
      </c>
      <c r="X23">
        <v>2150.556</v>
      </c>
      <c r="Y23">
        <v>2141.5</v>
      </c>
      <c r="Z23">
        <v>2102.651</v>
      </c>
      <c r="AA23">
        <v>2077.801</v>
      </c>
    </row>
    <row r="24" spans="1:27">
      <c r="A24">
        <v>2208</v>
      </c>
      <c r="B24">
        <v>3050.3755</v>
      </c>
      <c r="C24">
        <v>2208</v>
      </c>
      <c r="D24">
        <v>2060.4115621828</v>
      </c>
      <c r="E24">
        <v>2208</v>
      </c>
      <c r="F24">
        <v>2474.69</v>
      </c>
      <c r="G24">
        <v>2208</v>
      </c>
      <c r="H24">
        <v>2203.811</v>
      </c>
      <c r="I24">
        <v>2208</v>
      </c>
      <c r="J24">
        <v>2150.556</v>
      </c>
      <c r="K24">
        <v>2208</v>
      </c>
      <c r="L24">
        <v>2366</v>
      </c>
      <c r="M24">
        <v>2208</v>
      </c>
      <c r="N24">
        <v>2203.819</v>
      </c>
      <c r="O24">
        <v>2208</v>
      </c>
      <c r="P24">
        <v>2221.214</v>
      </c>
      <c r="S24">
        <v>2208</v>
      </c>
      <c r="T24">
        <v>3050.3755</v>
      </c>
      <c r="U24">
        <v>2060.4115621828</v>
      </c>
      <c r="V24">
        <v>2474.69</v>
      </c>
      <c r="W24">
        <v>2203.811</v>
      </c>
      <c r="X24">
        <v>2150.556</v>
      </c>
      <c r="Y24">
        <v>2366</v>
      </c>
      <c r="Z24">
        <v>2203.819</v>
      </c>
      <c r="AA24">
        <v>2221.214</v>
      </c>
    </row>
    <row r="25" spans="1:27">
      <c r="A25">
        <v>2390</v>
      </c>
      <c r="B25">
        <v>4309.8694</v>
      </c>
      <c r="C25">
        <v>2390</v>
      </c>
      <c r="D25">
        <v>2444.86386412245</v>
      </c>
      <c r="E25">
        <v>2390</v>
      </c>
      <c r="F25">
        <v>2885.618</v>
      </c>
      <c r="G25">
        <v>2390</v>
      </c>
      <c r="H25">
        <v>2323.622</v>
      </c>
      <c r="I25">
        <v>2390</v>
      </c>
      <c r="J25">
        <v>2389.833</v>
      </c>
      <c r="K25">
        <v>2390</v>
      </c>
      <c r="L25">
        <v>2366</v>
      </c>
      <c r="M25">
        <v>2390</v>
      </c>
      <c r="N25">
        <v>2383.52</v>
      </c>
      <c r="O25">
        <v>2390</v>
      </c>
      <c r="P25">
        <v>2371.272</v>
      </c>
      <c r="S25">
        <v>2390</v>
      </c>
      <c r="T25">
        <v>4309.8694</v>
      </c>
      <c r="U25">
        <v>2444.86386412245</v>
      </c>
      <c r="V25">
        <v>2885.618</v>
      </c>
      <c r="W25">
        <v>2323.622</v>
      </c>
      <c r="X25">
        <v>2389.833</v>
      </c>
      <c r="Y25">
        <v>2366</v>
      </c>
      <c r="Z25">
        <v>2383.52</v>
      </c>
      <c r="AA25">
        <v>2371.272</v>
      </c>
    </row>
    <row r="26" spans="1:27">
      <c r="A26">
        <v>490</v>
      </c>
      <c r="B26">
        <v>-1839.3881</v>
      </c>
      <c r="C26">
        <v>490</v>
      </c>
      <c r="D26">
        <v>622.397877803258</v>
      </c>
      <c r="E26">
        <v>490</v>
      </c>
      <c r="F26">
        <v>-130.933</v>
      </c>
      <c r="G26">
        <v>490</v>
      </c>
      <c r="H26">
        <v>631.05</v>
      </c>
      <c r="I26">
        <v>490</v>
      </c>
      <c r="J26">
        <v>576.333</v>
      </c>
      <c r="K26">
        <v>490</v>
      </c>
      <c r="L26">
        <v>540.333</v>
      </c>
      <c r="M26">
        <v>490</v>
      </c>
      <c r="N26">
        <v>461.406</v>
      </c>
      <c r="O26">
        <v>490</v>
      </c>
      <c r="P26">
        <v>497.585</v>
      </c>
      <c r="S26">
        <v>490</v>
      </c>
      <c r="T26">
        <v>-1839.3881</v>
      </c>
      <c r="U26">
        <v>622.397877803258</v>
      </c>
      <c r="V26">
        <v>-130.933</v>
      </c>
      <c r="W26">
        <v>631.05</v>
      </c>
      <c r="X26">
        <v>576.333</v>
      </c>
      <c r="Y26">
        <v>540.333</v>
      </c>
      <c r="Z26">
        <v>461.406</v>
      </c>
      <c r="AA26">
        <v>497.585</v>
      </c>
    </row>
    <row r="27" spans="1:27">
      <c r="A27">
        <v>588</v>
      </c>
      <c r="B27">
        <v>-1299.605</v>
      </c>
      <c r="C27">
        <v>588</v>
      </c>
      <c r="D27">
        <v>805.640783531776</v>
      </c>
      <c r="E27">
        <v>588</v>
      </c>
      <c r="F27">
        <v>45.179</v>
      </c>
      <c r="G27">
        <v>588</v>
      </c>
      <c r="H27">
        <v>633.329</v>
      </c>
      <c r="I27">
        <v>588</v>
      </c>
      <c r="J27">
        <v>576.333</v>
      </c>
      <c r="K27">
        <v>588</v>
      </c>
      <c r="L27">
        <v>540.333</v>
      </c>
      <c r="M27">
        <v>588</v>
      </c>
      <c r="N27">
        <v>553.415</v>
      </c>
      <c r="O27">
        <v>588</v>
      </c>
      <c r="P27">
        <v>531.219</v>
      </c>
      <c r="S27">
        <v>588</v>
      </c>
      <c r="T27">
        <v>-1299.605</v>
      </c>
      <c r="U27">
        <v>805.640783531776</v>
      </c>
      <c r="V27">
        <v>45.179</v>
      </c>
      <c r="W27">
        <v>633.329</v>
      </c>
      <c r="X27">
        <v>576.333</v>
      </c>
      <c r="Y27">
        <v>540.333</v>
      </c>
      <c r="Z27">
        <v>553.415</v>
      </c>
      <c r="AA27">
        <v>531.219</v>
      </c>
    </row>
    <row r="28" spans="1:27">
      <c r="A28">
        <v>670</v>
      </c>
      <c r="B28">
        <v>319.744299999999</v>
      </c>
      <c r="C28">
        <v>670</v>
      </c>
      <c r="D28">
        <v>1133.168099663</v>
      </c>
      <c r="E28">
        <v>670</v>
      </c>
      <c r="F28">
        <v>573.515</v>
      </c>
      <c r="G28">
        <v>670</v>
      </c>
      <c r="H28">
        <v>901.384</v>
      </c>
      <c r="I28">
        <v>670</v>
      </c>
      <c r="J28">
        <v>760.6</v>
      </c>
      <c r="K28">
        <v>670</v>
      </c>
      <c r="L28">
        <v>718.5</v>
      </c>
      <c r="M28">
        <v>670</v>
      </c>
      <c r="N28">
        <v>692.225</v>
      </c>
      <c r="O28">
        <v>670</v>
      </c>
      <c r="P28">
        <v>697.596</v>
      </c>
      <c r="S28">
        <v>670</v>
      </c>
      <c r="T28">
        <v>319.744299999999</v>
      </c>
      <c r="U28">
        <v>1133.168099663</v>
      </c>
      <c r="V28">
        <v>573.515</v>
      </c>
      <c r="W28">
        <v>901.384</v>
      </c>
      <c r="X28">
        <v>760.6</v>
      </c>
      <c r="Y28">
        <v>718.5</v>
      </c>
      <c r="Z28">
        <v>692.225</v>
      </c>
      <c r="AA28">
        <v>697.596</v>
      </c>
    </row>
    <row r="29" spans="1:27">
      <c r="A29">
        <v>750</v>
      </c>
      <c r="B29">
        <v>679.599699999999</v>
      </c>
      <c r="C29">
        <v>750</v>
      </c>
      <c r="D29">
        <v>1187.22128625402</v>
      </c>
      <c r="E29">
        <v>750</v>
      </c>
      <c r="F29">
        <v>690.923</v>
      </c>
      <c r="G29">
        <v>750</v>
      </c>
      <c r="H29">
        <v>902.417</v>
      </c>
      <c r="I29">
        <v>750</v>
      </c>
      <c r="J29">
        <v>760.6</v>
      </c>
      <c r="K29">
        <v>750</v>
      </c>
      <c r="L29">
        <v>718.5</v>
      </c>
      <c r="M29">
        <v>750</v>
      </c>
      <c r="N29">
        <v>737.655</v>
      </c>
      <c r="O29">
        <v>750</v>
      </c>
      <c r="P29">
        <v>726.738</v>
      </c>
      <c r="S29">
        <v>750</v>
      </c>
      <c r="T29">
        <v>679.599699999999</v>
      </c>
      <c r="U29">
        <v>1187.22128625402</v>
      </c>
      <c r="V29">
        <v>690.923</v>
      </c>
      <c r="W29">
        <v>902.417</v>
      </c>
      <c r="X29">
        <v>760.6</v>
      </c>
      <c r="Y29">
        <v>718.5</v>
      </c>
      <c r="Z29">
        <v>737.655</v>
      </c>
      <c r="AA29">
        <v>726.738</v>
      </c>
    </row>
    <row r="30" spans="1:27">
      <c r="A30">
        <v>2321</v>
      </c>
      <c r="B30">
        <v>3161.1708</v>
      </c>
      <c r="C30">
        <v>2321</v>
      </c>
      <c r="D30">
        <v>1965.30618530927</v>
      </c>
      <c r="E30">
        <v>2321</v>
      </c>
      <c r="F30">
        <v>3191.964</v>
      </c>
      <c r="G30">
        <v>2321</v>
      </c>
      <c r="H30">
        <v>2626.346</v>
      </c>
      <c r="I30">
        <v>2321</v>
      </c>
      <c r="J30">
        <v>2405</v>
      </c>
      <c r="K30">
        <v>2321</v>
      </c>
      <c r="L30">
        <v>3118</v>
      </c>
      <c r="M30">
        <v>2321</v>
      </c>
      <c r="N30">
        <v>2474.972</v>
      </c>
      <c r="O30">
        <v>2321</v>
      </c>
      <c r="P30">
        <v>2164.256</v>
      </c>
      <c r="S30">
        <v>2321</v>
      </c>
      <c r="T30">
        <v>3161.1708</v>
      </c>
      <c r="U30">
        <v>1965.30618530927</v>
      </c>
      <c r="V30">
        <v>3191.964</v>
      </c>
      <c r="W30">
        <v>2626.346</v>
      </c>
      <c r="X30">
        <v>2405</v>
      </c>
      <c r="Y30">
        <v>3118</v>
      </c>
      <c r="Z30">
        <v>2474.972</v>
      </c>
      <c r="AA30">
        <v>2164.256</v>
      </c>
    </row>
    <row r="31" spans="1:27">
      <c r="A31">
        <v>5540</v>
      </c>
      <c r="B31">
        <v>5140.3755</v>
      </c>
      <c r="C31">
        <v>5540</v>
      </c>
      <c r="D31">
        <v>4956.88612819857</v>
      </c>
      <c r="E31">
        <v>5540</v>
      </c>
      <c r="F31">
        <v>4896.954</v>
      </c>
      <c r="G31">
        <v>5540</v>
      </c>
      <c r="H31">
        <v>5420.134</v>
      </c>
      <c r="I31">
        <v>5540</v>
      </c>
      <c r="J31">
        <v>5510</v>
      </c>
      <c r="K31">
        <v>5540</v>
      </c>
      <c r="L31">
        <v>5477.545</v>
      </c>
      <c r="M31">
        <v>5540</v>
      </c>
      <c r="N31">
        <v>5514.553</v>
      </c>
      <c r="O31">
        <v>5540</v>
      </c>
      <c r="P31">
        <v>5353.439</v>
      </c>
      <c r="S31">
        <v>5540</v>
      </c>
      <c r="T31">
        <v>5140.3755</v>
      </c>
      <c r="U31">
        <v>4956.88612819857</v>
      </c>
      <c r="V31">
        <v>4896.954</v>
      </c>
      <c r="W31">
        <v>5420.134</v>
      </c>
      <c r="X31">
        <v>5510</v>
      </c>
      <c r="Y31">
        <v>5477.545</v>
      </c>
      <c r="Z31">
        <v>5514.553</v>
      </c>
      <c r="AA31">
        <v>5353.439</v>
      </c>
    </row>
    <row r="32" spans="1:27">
      <c r="A32">
        <v>5841</v>
      </c>
      <c r="B32">
        <v>6399.8694</v>
      </c>
      <c r="C32">
        <v>5841</v>
      </c>
      <c r="D32">
        <v>5881.79177201071</v>
      </c>
      <c r="E32">
        <v>5841</v>
      </c>
      <c r="F32">
        <v>5816.059</v>
      </c>
      <c r="G32">
        <v>5841</v>
      </c>
      <c r="H32">
        <v>5511.182</v>
      </c>
      <c r="I32">
        <v>5841</v>
      </c>
      <c r="J32">
        <v>5770.4</v>
      </c>
      <c r="K32">
        <v>5841</v>
      </c>
      <c r="L32">
        <v>5477.545</v>
      </c>
      <c r="M32">
        <v>5841</v>
      </c>
      <c r="N32">
        <v>5782.156</v>
      </c>
      <c r="O32">
        <v>5841</v>
      </c>
      <c r="P32">
        <v>5840.803</v>
      </c>
      <c r="S32">
        <v>5841</v>
      </c>
      <c r="T32">
        <v>6399.8694</v>
      </c>
      <c r="U32">
        <v>5881.79177201071</v>
      </c>
      <c r="V32">
        <v>5816.059</v>
      </c>
      <c r="W32">
        <v>5511.182</v>
      </c>
      <c r="X32">
        <v>5770.4</v>
      </c>
      <c r="Y32">
        <v>5477.545</v>
      </c>
      <c r="Z32">
        <v>5782.156</v>
      </c>
      <c r="AA32">
        <v>5840.803</v>
      </c>
    </row>
    <row r="33" spans="1:27">
      <c r="A33">
        <v>1020</v>
      </c>
      <c r="B33">
        <v>610.4673</v>
      </c>
      <c r="C33">
        <v>1020</v>
      </c>
      <c r="D33">
        <v>1810.99504760894</v>
      </c>
      <c r="E33">
        <v>1020</v>
      </c>
      <c r="F33">
        <v>1208.206</v>
      </c>
      <c r="G33">
        <v>1020</v>
      </c>
      <c r="H33">
        <v>1174.556</v>
      </c>
      <c r="I33">
        <v>1020</v>
      </c>
      <c r="J33">
        <v>995.25</v>
      </c>
      <c r="K33">
        <v>1020</v>
      </c>
      <c r="L33">
        <v>1040.2</v>
      </c>
      <c r="M33">
        <v>1020</v>
      </c>
      <c r="N33">
        <v>996.451</v>
      </c>
      <c r="O33">
        <v>1020</v>
      </c>
      <c r="P33">
        <v>1127.175</v>
      </c>
      <c r="S33">
        <v>1020</v>
      </c>
      <c r="T33">
        <v>610.4673</v>
      </c>
      <c r="U33">
        <v>1810.99504760894</v>
      </c>
      <c r="V33">
        <v>1208.206</v>
      </c>
      <c r="W33">
        <v>1174.556</v>
      </c>
      <c r="X33">
        <v>995.25</v>
      </c>
      <c r="Y33">
        <v>1040.2</v>
      </c>
      <c r="Z33">
        <v>996.451</v>
      </c>
      <c r="AA33">
        <v>1127.175</v>
      </c>
    </row>
    <row r="34" spans="1:27">
      <c r="A34">
        <v>2134</v>
      </c>
      <c r="B34">
        <v>1330.1781</v>
      </c>
      <c r="C34">
        <v>2134</v>
      </c>
      <c r="D34">
        <v>2254.00621039238</v>
      </c>
      <c r="E34">
        <v>2134</v>
      </c>
      <c r="F34">
        <v>1752.756</v>
      </c>
      <c r="G34">
        <v>2134</v>
      </c>
      <c r="H34">
        <v>2235.621</v>
      </c>
      <c r="I34">
        <v>2134</v>
      </c>
      <c r="J34">
        <v>2235.333</v>
      </c>
      <c r="K34">
        <v>2134</v>
      </c>
      <c r="L34">
        <v>2218.2</v>
      </c>
      <c r="M34">
        <v>2134</v>
      </c>
      <c r="N34">
        <v>1797.316</v>
      </c>
      <c r="O34">
        <v>2134</v>
      </c>
      <c r="P34">
        <v>1697.753</v>
      </c>
      <c r="S34">
        <v>2134</v>
      </c>
      <c r="T34">
        <v>1330.1781</v>
      </c>
      <c r="U34">
        <v>2254.00621039238</v>
      </c>
      <c r="V34">
        <v>1752.756</v>
      </c>
      <c r="W34">
        <v>2235.621</v>
      </c>
      <c r="X34">
        <v>2235.333</v>
      </c>
      <c r="Y34">
        <v>2218.2</v>
      </c>
      <c r="Z34">
        <v>1797.316</v>
      </c>
      <c r="AA34">
        <v>1697.753</v>
      </c>
    </row>
    <row r="35" spans="1:27">
      <c r="A35">
        <v>3247</v>
      </c>
      <c r="B35">
        <v>3129.4551</v>
      </c>
      <c r="C35">
        <v>3247</v>
      </c>
      <c r="D35">
        <v>2976.94252795835</v>
      </c>
      <c r="E35">
        <v>3247</v>
      </c>
      <c r="F35">
        <v>3114.133</v>
      </c>
      <c r="G35">
        <v>3247</v>
      </c>
      <c r="H35">
        <v>3119.552</v>
      </c>
      <c r="I35">
        <v>3247</v>
      </c>
      <c r="J35">
        <v>3286.75</v>
      </c>
      <c r="K35">
        <v>3247</v>
      </c>
      <c r="L35">
        <v>3040.667</v>
      </c>
      <c r="M35">
        <v>3247</v>
      </c>
      <c r="N35">
        <v>3273.015</v>
      </c>
      <c r="O35">
        <v>3247</v>
      </c>
      <c r="P35">
        <v>3130.395</v>
      </c>
      <c r="S35">
        <v>3247</v>
      </c>
      <c r="T35">
        <v>3129.4551</v>
      </c>
      <c r="U35">
        <v>2976.94252795835</v>
      </c>
      <c r="V35">
        <v>3114.133</v>
      </c>
      <c r="W35">
        <v>3119.552</v>
      </c>
      <c r="X35">
        <v>3286.75</v>
      </c>
      <c r="Y35">
        <v>3040.667</v>
      </c>
      <c r="Z35">
        <v>3273.015</v>
      </c>
      <c r="AA35">
        <v>3130.395</v>
      </c>
    </row>
    <row r="36" spans="1:27">
      <c r="A36">
        <v>6302</v>
      </c>
      <c r="B36">
        <v>6778.29705</v>
      </c>
      <c r="C36">
        <v>6302</v>
      </c>
      <c r="D36">
        <v>6394.23413312726</v>
      </c>
      <c r="E36">
        <v>6302</v>
      </c>
      <c r="F36">
        <v>6832.227</v>
      </c>
      <c r="G36">
        <v>6302</v>
      </c>
      <c r="H36">
        <v>6546.963</v>
      </c>
      <c r="I36">
        <v>6302</v>
      </c>
      <c r="J36">
        <v>7422</v>
      </c>
      <c r="K36">
        <v>6302</v>
      </c>
      <c r="L36">
        <v>7248.667</v>
      </c>
      <c r="M36">
        <v>6302</v>
      </c>
      <c r="N36">
        <v>6813.335</v>
      </c>
      <c r="O36">
        <v>6302</v>
      </c>
      <c r="P36">
        <v>6704.867</v>
      </c>
      <c r="S36">
        <v>6302</v>
      </c>
      <c r="T36">
        <v>6778.29705</v>
      </c>
      <c r="U36">
        <v>6394.23413312726</v>
      </c>
      <c r="V36">
        <v>6832.227</v>
      </c>
      <c r="W36">
        <v>6546.963</v>
      </c>
      <c r="X36">
        <v>7422</v>
      </c>
      <c r="Y36">
        <v>7248.667</v>
      </c>
      <c r="Z36">
        <v>6813.335</v>
      </c>
      <c r="AA36">
        <v>6704.867</v>
      </c>
    </row>
    <row r="37" spans="1:27">
      <c r="A37">
        <v>9550</v>
      </c>
      <c r="B37">
        <v>8037.79095</v>
      </c>
      <c r="C37">
        <v>9550</v>
      </c>
      <c r="D37">
        <v>8858.10897657742</v>
      </c>
      <c r="E37">
        <v>9550</v>
      </c>
      <c r="F37">
        <v>8792.898</v>
      </c>
      <c r="G37">
        <v>9550</v>
      </c>
      <c r="H37">
        <v>9451.765</v>
      </c>
      <c r="I37">
        <v>9550</v>
      </c>
      <c r="J37">
        <v>9631</v>
      </c>
      <c r="K37">
        <v>9550</v>
      </c>
      <c r="L37">
        <v>9853.824</v>
      </c>
      <c r="M37">
        <v>9550</v>
      </c>
      <c r="N37">
        <v>9456.761</v>
      </c>
      <c r="O37">
        <v>9550</v>
      </c>
      <c r="P37">
        <v>9605.022</v>
      </c>
      <c r="S37">
        <v>9550</v>
      </c>
      <c r="T37">
        <v>8037.79095</v>
      </c>
      <c r="U37">
        <v>8858.10897657742</v>
      </c>
      <c r="V37">
        <v>8792.898</v>
      </c>
      <c r="W37">
        <v>9451.765</v>
      </c>
      <c r="X37">
        <v>9631</v>
      </c>
      <c r="Y37">
        <v>9853.824</v>
      </c>
      <c r="Z37">
        <v>9456.761</v>
      </c>
      <c r="AA37">
        <v>9605.022</v>
      </c>
    </row>
    <row r="38" spans="1:27">
      <c r="A38">
        <v>9642</v>
      </c>
      <c r="B38">
        <v>8397.64635</v>
      </c>
      <c r="C38">
        <v>9642</v>
      </c>
      <c r="D38">
        <v>9381.34873357847</v>
      </c>
      <c r="E38">
        <v>9642</v>
      </c>
      <c r="F38">
        <v>9134.663</v>
      </c>
      <c r="G38">
        <v>9642</v>
      </c>
      <c r="H38">
        <v>9417.021</v>
      </c>
      <c r="I38">
        <v>9642</v>
      </c>
      <c r="J38">
        <v>9631</v>
      </c>
      <c r="K38">
        <v>9642</v>
      </c>
      <c r="L38">
        <v>9853.824</v>
      </c>
      <c r="M38">
        <v>9642</v>
      </c>
      <c r="N38">
        <v>9588.878</v>
      </c>
      <c r="O38">
        <v>9642</v>
      </c>
      <c r="P38">
        <v>9877.365</v>
      </c>
      <c r="S38">
        <v>9642</v>
      </c>
      <c r="T38">
        <v>8397.64635</v>
      </c>
      <c r="U38">
        <v>9381.34873357847</v>
      </c>
      <c r="V38">
        <v>9134.663</v>
      </c>
      <c r="W38">
        <v>9417.021</v>
      </c>
      <c r="X38">
        <v>9631</v>
      </c>
      <c r="Y38">
        <v>9853.824</v>
      </c>
      <c r="Z38">
        <v>9588.878</v>
      </c>
      <c r="AA38">
        <v>9877.365</v>
      </c>
    </row>
    <row r="39" spans="1:27">
      <c r="A39">
        <v>932</v>
      </c>
      <c r="B39">
        <v>2788.17195</v>
      </c>
      <c r="C39">
        <v>932</v>
      </c>
      <c r="D39">
        <v>1777.55522607415</v>
      </c>
      <c r="E39">
        <v>932</v>
      </c>
      <c r="F39">
        <v>1204.119</v>
      </c>
      <c r="G39">
        <v>932</v>
      </c>
      <c r="H39">
        <v>1246.655</v>
      </c>
      <c r="I39">
        <v>932</v>
      </c>
      <c r="J39">
        <v>1007.5</v>
      </c>
      <c r="K39">
        <v>932</v>
      </c>
      <c r="L39">
        <v>1206.833</v>
      </c>
      <c r="M39">
        <v>932</v>
      </c>
      <c r="N39">
        <v>997.154</v>
      </c>
      <c r="O39">
        <v>932</v>
      </c>
      <c r="P39">
        <v>28.291</v>
      </c>
      <c r="S39">
        <v>932</v>
      </c>
      <c r="T39">
        <v>2788.17195</v>
      </c>
      <c r="U39">
        <v>1777.55522607415</v>
      </c>
      <c r="V39">
        <v>1204.119</v>
      </c>
      <c r="W39">
        <v>1246.655</v>
      </c>
      <c r="X39">
        <v>1007.5</v>
      </c>
      <c r="Y39">
        <v>1206.833</v>
      </c>
      <c r="Z39">
        <v>997.154</v>
      </c>
      <c r="AA39">
        <v>28.291</v>
      </c>
    </row>
    <row r="40" spans="1:27">
      <c r="A40">
        <v>2075</v>
      </c>
      <c r="B40">
        <v>3687.81045</v>
      </c>
      <c r="C40">
        <v>2075</v>
      </c>
      <c r="D40">
        <v>3463.60600352064</v>
      </c>
      <c r="E40">
        <v>2075</v>
      </c>
      <c r="F40">
        <v>2473.105</v>
      </c>
      <c r="G40">
        <v>2075</v>
      </c>
      <c r="H40">
        <v>2506.941</v>
      </c>
      <c r="I40">
        <v>2075</v>
      </c>
      <c r="J40">
        <v>2220</v>
      </c>
      <c r="K40">
        <v>2075</v>
      </c>
      <c r="L40">
        <v>2814.5</v>
      </c>
      <c r="M40">
        <v>2075</v>
      </c>
      <c r="N40">
        <v>1713.611</v>
      </c>
      <c r="O40">
        <v>2075</v>
      </c>
      <c r="P40">
        <v>2039.331</v>
      </c>
      <c r="S40">
        <v>2075</v>
      </c>
      <c r="T40">
        <v>3687.81045</v>
      </c>
      <c r="U40">
        <v>3463.60600352064</v>
      </c>
      <c r="V40">
        <v>2473.105</v>
      </c>
      <c r="W40">
        <v>2506.941</v>
      </c>
      <c r="X40">
        <v>2220</v>
      </c>
      <c r="Y40">
        <v>2814.5</v>
      </c>
      <c r="Z40">
        <v>1713.611</v>
      </c>
      <c r="AA40">
        <v>2039.331</v>
      </c>
    </row>
    <row r="41" spans="1:27">
      <c r="A41">
        <v>5275</v>
      </c>
      <c r="B41">
        <v>4947.30435</v>
      </c>
      <c r="C41">
        <v>5275</v>
      </c>
      <c r="D41">
        <v>4618.95510657736</v>
      </c>
      <c r="E41">
        <v>5275</v>
      </c>
      <c r="F41">
        <v>4683.749</v>
      </c>
      <c r="G41">
        <v>5275</v>
      </c>
      <c r="H41">
        <v>5387.23</v>
      </c>
      <c r="I41">
        <v>5275</v>
      </c>
      <c r="J41">
        <v>5315.5</v>
      </c>
      <c r="K41">
        <v>5275</v>
      </c>
      <c r="L41">
        <v>5417.333</v>
      </c>
      <c r="M41">
        <v>5275</v>
      </c>
      <c r="N41">
        <v>5059.269</v>
      </c>
      <c r="O41">
        <v>5275</v>
      </c>
      <c r="P41">
        <v>4939.542</v>
      </c>
      <c r="S41">
        <v>5275</v>
      </c>
      <c r="T41">
        <v>4947.30435</v>
      </c>
      <c r="U41">
        <v>4618.95510657736</v>
      </c>
      <c r="V41">
        <v>4683.749</v>
      </c>
      <c r="W41">
        <v>5387.23</v>
      </c>
      <c r="X41">
        <v>5315.5</v>
      </c>
      <c r="Y41">
        <v>5417.333</v>
      </c>
      <c r="Z41">
        <v>5059.269</v>
      </c>
      <c r="AA41">
        <v>4939.542</v>
      </c>
    </row>
    <row r="42" spans="1:27">
      <c r="A42">
        <v>5767</v>
      </c>
      <c r="B42">
        <v>5487.08745</v>
      </c>
      <c r="C42">
        <v>5767</v>
      </c>
      <c r="D42">
        <v>4990.18288676726</v>
      </c>
      <c r="E42">
        <v>5767</v>
      </c>
      <c r="F42">
        <v>5415.695</v>
      </c>
      <c r="G42">
        <v>5767</v>
      </c>
      <c r="H42">
        <v>5877.35</v>
      </c>
      <c r="I42">
        <v>5767</v>
      </c>
      <c r="J42">
        <v>6379.8</v>
      </c>
      <c r="K42">
        <v>5767</v>
      </c>
      <c r="L42">
        <v>6456.8</v>
      </c>
      <c r="M42">
        <v>5767</v>
      </c>
      <c r="N42">
        <v>5804.54</v>
      </c>
      <c r="O42">
        <v>5767</v>
      </c>
      <c r="P42">
        <v>5801.466</v>
      </c>
      <c r="S42">
        <v>5767</v>
      </c>
      <c r="T42">
        <v>5487.08745</v>
      </c>
      <c r="U42">
        <v>4990.18288676726</v>
      </c>
      <c r="V42">
        <v>5415.695</v>
      </c>
      <c r="W42">
        <v>5877.35</v>
      </c>
      <c r="X42">
        <v>6379.8</v>
      </c>
      <c r="Y42">
        <v>6456.8</v>
      </c>
      <c r="Z42">
        <v>5804.54</v>
      </c>
      <c r="AA42">
        <v>5801.466</v>
      </c>
    </row>
    <row r="43" spans="1:27">
      <c r="A43">
        <v>5896</v>
      </c>
      <c r="B43">
        <v>6736.40415</v>
      </c>
      <c r="C43">
        <v>5896</v>
      </c>
      <c r="D43">
        <v>6144.19707019546</v>
      </c>
      <c r="E43">
        <v>5896</v>
      </c>
      <c r="F43">
        <v>6581.162</v>
      </c>
      <c r="G43">
        <v>5896</v>
      </c>
      <c r="H43">
        <v>6246.954</v>
      </c>
      <c r="I43">
        <v>5896</v>
      </c>
      <c r="J43">
        <v>6602</v>
      </c>
      <c r="K43">
        <v>5896</v>
      </c>
      <c r="L43">
        <v>5040.2</v>
      </c>
      <c r="M43">
        <v>5896</v>
      </c>
      <c r="N43">
        <v>6095.658</v>
      </c>
      <c r="O43">
        <v>5896</v>
      </c>
      <c r="P43">
        <v>6340.834</v>
      </c>
      <c r="S43">
        <v>5896</v>
      </c>
      <c r="T43">
        <v>6736.40415</v>
      </c>
      <c r="U43">
        <v>6144.19707019546</v>
      </c>
      <c r="V43">
        <v>6581.162</v>
      </c>
      <c r="W43">
        <v>6246.954</v>
      </c>
      <c r="X43">
        <v>6602</v>
      </c>
      <c r="Y43">
        <v>5040.2</v>
      </c>
      <c r="Z43">
        <v>6095.658</v>
      </c>
      <c r="AA43">
        <v>6340.834</v>
      </c>
    </row>
    <row r="44" spans="1:27">
      <c r="A44">
        <v>9165</v>
      </c>
      <c r="B44">
        <v>7636.04265</v>
      </c>
      <c r="C44">
        <v>9165</v>
      </c>
      <c r="D44">
        <v>8309.64631752688</v>
      </c>
      <c r="E44">
        <v>9165</v>
      </c>
      <c r="F44">
        <v>8323.474</v>
      </c>
      <c r="G44">
        <v>9165</v>
      </c>
      <c r="H44">
        <v>8710.879</v>
      </c>
      <c r="I44">
        <v>9165</v>
      </c>
      <c r="J44">
        <v>9074</v>
      </c>
      <c r="K44">
        <v>9165</v>
      </c>
      <c r="L44">
        <v>8914.6</v>
      </c>
      <c r="M44">
        <v>9165</v>
      </c>
      <c r="N44">
        <v>9562.24</v>
      </c>
      <c r="O44">
        <v>9165</v>
      </c>
      <c r="P44">
        <v>9056.656</v>
      </c>
      <c r="S44">
        <v>9165</v>
      </c>
      <c r="T44">
        <v>7636.04265</v>
      </c>
      <c r="U44">
        <v>8309.64631752688</v>
      </c>
      <c r="V44">
        <v>8323.474</v>
      </c>
      <c r="W44">
        <v>8710.879</v>
      </c>
      <c r="X44">
        <v>9074</v>
      </c>
      <c r="Y44">
        <v>8914.6</v>
      </c>
      <c r="Z44">
        <v>9562.24</v>
      </c>
      <c r="AA44">
        <v>9056.656</v>
      </c>
    </row>
    <row r="45" spans="1:27">
      <c r="A45">
        <v>9987</v>
      </c>
      <c r="B45">
        <v>8895.53655</v>
      </c>
      <c r="C45">
        <v>9987</v>
      </c>
      <c r="D45">
        <v>10294.6554741666</v>
      </c>
      <c r="E45">
        <v>9987</v>
      </c>
      <c r="F45">
        <v>9656.477</v>
      </c>
      <c r="G45">
        <v>9987</v>
      </c>
      <c r="H45">
        <v>9751.109</v>
      </c>
      <c r="I45">
        <v>9987</v>
      </c>
      <c r="J45">
        <v>9902</v>
      </c>
      <c r="K45">
        <v>9987</v>
      </c>
      <c r="L45">
        <v>9853.824</v>
      </c>
      <c r="M45">
        <v>9987</v>
      </c>
      <c r="N45">
        <v>9950.597</v>
      </c>
      <c r="O45">
        <v>9987</v>
      </c>
      <c r="P45">
        <v>10331.104</v>
      </c>
      <c r="S45">
        <v>9987</v>
      </c>
      <c r="T45">
        <v>8895.53655</v>
      </c>
      <c r="U45">
        <v>10294.6554741666</v>
      </c>
      <c r="V45">
        <v>9656.477</v>
      </c>
      <c r="W45">
        <v>9751.109</v>
      </c>
      <c r="X45">
        <v>9902</v>
      </c>
      <c r="Y45">
        <v>9853.824</v>
      </c>
      <c r="Z45">
        <v>9950.597</v>
      </c>
      <c r="AA45">
        <v>10331.104</v>
      </c>
    </row>
    <row r="46" spans="1:27">
      <c r="A46">
        <v>10058</v>
      </c>
      <c r="B46">
        <v>9255.39195</v>
      </c>
      <c r="C46">
        <v>10058</v>
      </c>
      <c r="D46">
        <v>10756.1259587721</v>
      </c>
      <c r="E46">
        <v>10058</v>
      </c>
      <c r="F46">
        <v>9998.242</v>
      </c>
      <c r="G46">
        <v>10058</v>
      </c>
      <c r="H46">
        <v>9932.25</v>
      </c>
      <c r="I46">
        <v>10058</v>
      </c>
      <c r="J46">
        <v>10150.667</v>
      </c>
      <c r="K46">
        <v>10058</v>
      </c>
      <c r="L46">
        <v>9853.824</v>
      </c>
      <c r="M46">
        <v>10058</v>
      </c>
      <c r="N46">
        <v>10077.82</v>
      </c>
      <c r="O46">
        <v>10058</v>
      </c>
      <c r="P46">
        <v>10275.006</v>
      </c>
      <c r="S46">
        <v>10058</v>
      </c>
      <c r="T46">
        <v>9255.39195</v>
      </c>
      <c r="U46">
        <v>10756.1259587721</v>
      </c>
      <c r="V46">
        <v>9998.242</v>
      </c>
      <c r="W46">
        <v>9932.25</v>
      </c>
      <c r="X46">
        <v>10150.667</v>
      </c>
      <c r="Y46">
        <v>9853.824</v>
      </c>
      <c r="Z46">
        <v>10077.82</v>
      </c>
      <c r="AA46">
        <v>10275.006</v>
      </c>
    </row>
    <row r="47" spans="1:27">
      <c r="A47">
        <v>2375</v>
      </c>
      <c r="B47">
        <v>3825.84525</v>
      </c>
      <c r="C47">
        <v>2375</v>
      </c>
      <c r="D47">
        <v>3616.46813620106</v>
      </c>
      <c r="E47">
        <v>2375</v>
      </c>
      <c r="F47">
        <v>2725.272</v>
      </c>
      <c r="G47">
        <v>2375</v>
      </c>
      <c r="H47">
        <v>2643.385</v>
      </c>
      <c r="I47">
        <v>2375</v>
      </c>
      <c r="J47">
        <v>2520</v>
      </c>
      <c r="K47">
        <v>2375</v>
      </c>
      <c r="L47">
        <v>2814.5</v>
      </c>
      <c r="M47">
        <v>2375</v>
      </c>
      <c r="N47">
        <v>1947.731</v>
      </c>
      <c r="O47">
        <v>2375</v>
      </c>
      <c r="P47">
        <v>2401.976</v>
      </c>
      <c r="S47">
        <v>2375</v>
      </c>
      <c r="T47">
        <v>3825.84525</v>
      </c>
      <c r="U47">
        <v>3616.46813620106</v>
      </c>
      <c r="V47">
        <v>2725.272</v>
      </c>
      <c r="W47">
        <v>2643.385</v>
      </c>
      <c r="X47">
        <v>2520</v>
      </c>
      <c r="Y47">
        <v>2814.5</v>
      </c>
      <c r="Z47">
        <v>1947.731</v>
      </c>
      <c r="AA47">
        <v>2401.976</v>
      </c>
    </row>
    <row r="48" spans="1:27">
      <c r="A48">
        <v>5575</v>
      </c>
      <c r="B48">
        <v>5085.33915</v>
      </c>
      <c r="C48">
        <v>5575</v>
      </c>
      <c r="D48">
        <v>4822.80719819196</v>
      </c>
      <c r="E48">
        <v>5575</v>
      </c>
      <c r="F48">
        <v>4922.663</v>
      </c>
      <c r="G48">
        <v>5575</v>
      </c>
      <c r="H48">
        <v>5660.438</v>
      </c>
      <c r="I48">
        <v>5575</v>
      </c>
      <c r="J48">
        <v>5621</v>
      </c>
      <c r="K48">
        <v>5575</v>
      </c>
      <c r="L48">
        <v>5417.333</v>
      </c>
      <c r="M48">
        <v>5575</v>
      </c>
      <c r="N48">
        <v>5332.387</v>
      </c>
      <c r="O48">
        <v>5575</v>
      </c>
      <c r="P48">
        <v>5102.596</v>
      </c>
      <c r="S48">
        <v>5575</v>
      </c>
      <c r="T48">
        <v>5085.33915</v>
      </c>
      <c r="U48">
        <v>4822.80719819196</v>
      </c>
      <c r="V48">
        <v>4922.663</v>
      </c>
      <c r="W48">
        <v>5660.438</v>
      </c>
      <c r="X48">
        <v>5621</v>
      </c>
      <c r="Y48">
        <v>5417.333</v>
      </c>
      <c r="Z48">
        <v>5332.387</v>
      </c>
      <c r="AA48">
        <v>5102.596</v>
      </c>
    </row>
    <row r="49" spans="1:27">
      <c r="A49">
        <v>6565</v>
      </c>
      <c r="B49">
        <v>5805.04995</v>
      </c>
      <c r="C49">
        <v>6565</v>
      </c>
      <c r="D49">
        <v>5329.3577486671</v>
      </c>
      <c r="E49">
        <v>6565</v>
      </c>
      <c r="F49">
        <v>5898.59</v>
      </c>
      <c r="G49">
        <v>6565</v>
      </c>
      <c r="H49">
        <v>6684.256</v>
      </c>
      <c r="I49">
        <v>6565</v>
      </c>
      <c r="J49">
        <v>6675.5</v>
      </c>
      <c r="K49">
        <v>6565</v>
      </c>
      <c r="L49">
        <v>6456.8</v>
      </c>
      <c r="M49">
        <v>6565</v>
      </c>
      <c r="N49">
        <v>6233.653</v>
      </c>
      <c r="O49">
        <v>6565</v>
      </c>
      <c r="P49">
        <v>6246.463</v>
      </c>
      <c r="S49">
        <v>6565</v>
      </c>
      <c r="T49">
        <v>5805.04995</v>
      </c>
      <c r="U49">
        <v>5329.3577486671</v>
      </c>
      <c r="V49">
        <v>5898.59</v>
      </c>
      <c r="W49">
        <v>6684.256</v>
      </c>
      <c r="X49">
        <v>6675.5</v>
      </c>
      <c r="Y49">
        <v>6456.8</v>
      </c>
      <c r="Z49">
        <v>6233.653</v>
      </c>
      <c r="AA49">
        <v>6246.463</v>
      </c>
    </row>
    <row r="50" spans="1:27">
      <c r="A50">
        <v>2037</v>
      </c>
      <c r="B50">
        <v>1071.1708</v>
      </c>
      <c r="C50">
        <v>2037</v>
      </c>
      <c r="D50">
        <v>816.911965034833</v>
      </c>
      <c r="E50">
        <v>2037</v>
      </c>
      <c r="F50">
        <v>1828.946</v>
      </c>
      <c r="G50">
        <v>2037</v>
      </c>
      <c r="H50">
        <v>1924.718</v>
      </c>
      <c r="I50">
        <v>2037</v>
      </c>
      <c r="J50">
        <v>2150.556</v>
      </c>
      <c r="K50">
        <v>2037</v>
      </c>
      <c r="L50">
        <v>2141.5</v>
      </c>
      <c r="M50">
        <v>2037</v>
      </c>
      <c r="N50">
        <v>2136.65</v>
      </c>
      <c r="O50">
        <v>2037</v>
      </c>
      <c r="P50">
        <v>2046.663</v>
      </c>
      <c r="S50">
        <v>2037</v>
      </c>
      <c r="T50">
        <v>1071.1708</v>
      </c>
      <c r="U50">
        <v>816.911965034833</v>
      </c>
      <c r="V50">
        <v>1828.946</v>
      </c>
      <c r="W50">
        <v>1924.718</v>
      </c>
      <c r="X50">
        <v>2150.556</v>
      </c>
      <c r="Y50">
        <v>2141.5</v>
      </c>
      <c r="Z50">
        <v>2136.65</v>
      </c>
      <c r="AA50">
        <v>2046.663</v>
      </c>
    </row>
    <row r="51" spans="1:27">
      <c r="A51">
        <v>2126</v>
      </c>
      <c r="B51">
        <v>1970.8093</v>
      </c>
      <c r="C51">
        <v>2126</v>
      </c>
      <c r="D51">
        <v>1591.77118378006</v>
      </c>
      <c r="E51">
        <v>2126</v>
      </c>
      <c r="F51">
        <v>2122.466</v>
      </c>
      <c r="G51">
        <v>2126</v>
      </c>
      <c r="H51">
        <v>2159.69</v>
      </c>
      <c r="I51">
        <v>2126</v>
      </c>
      <c r="J51">
        <v>2150.556</v>
      </c>
      <c r="K51">
        <v>2126</v>
      </c>
      <c r="L51">
        <v>2141.5</v>
      </c>
      <c r="M51">
        <v>2126</v>
      </c>
      <c r="N51">
        <v>2126.465</v>
      </c>
      <c r="O51">
        <v>2126</v>
      </c>
      <c r="P51">
        <v>2131.302</v>
      </c>
      <c r="S51">
        <v>2126</v>
      </c>
      <c r="T51">
        <v>1970.8093</v>
      </c>
      <c r="U51">
        <v>1591.77118378006</v>
      </c>
      <c r="V51">
        <v>2122.466</v>
      </c>
      <c r="W51">
        <v>2159.69</v>
      </c>
      <c r="X51">
        <v>2150.556</v>
      </c>
      <c r="Y51">
        <v>2141.5</v>
      </c>
      <c r="Z51">
        <v>2126.465</v>
      </c>
      <c r="AA51">
        <v>2131.302</v>
      </c>
    </row>
    <row r="52" spans="1:27">
      <c r="A52">
        <v>2245</v>
      </c>
      <c r="B52">
        <v>3410.2309</v>
      </c>
      <c r="C52">
        <v>2245</v>
      </c>
      <c r="D52">
        <v>2182.11804016466</v>
      </c>
      <c r="E52">
        <v>2245</v>
      </c>
      <c r="F52">
        <v>2592.098</v>
      </c>
      <c r="G52">
        <v>2245</v>
      </c>
      <c r="H52">
        <v>2486.316</v>
      </c>
      <c r="I52">
        <v>2245</v>
      </c>
      <c r="J52">
        <v>5658.5</v>
      </c>
      <c r="K52">
        <v>2245</v>
      </c>
      <c r="L52">
        <v>2366</v>
      </c>
      <c r="M52">
        <v>2245</v>
      </c>
      <c r="N52">
        <v>2246.841</v>
      </c>
      <c r="O52">
        <v>2245</v>
      </c>
      <c r="P52">
        <v>2250.275</v>
      </c>
      <c r="S52">
        <v>2245</v>
      </c>
      <c r="T52">
        <v>3410.2309</v>
      </c>
      <c r="U52">
        <v>2182.11804016466</v>
      </c>
      <c r="V52">
        <v>2592.098</v>
      </c>
      <c r="W52">
        <v>2486.316</v>
      </c>
      <c r="X52">
        <v>5658.5</v>
      </c>
      <c r="Y52">
        <v>2366</v>
      </c>
      <c r="Z52">
        <v>2246.841</v>
      </c>
      <c r="AA52">
        <v>2250.275</v>
      </c>
    </row>
    <row r="53" spans="1:27">
      <c r="A53">
        <v>2272</v>
      </c>
      <c r="B53">
        <v>3590.1586</v>
      </c>
      <c r="C53">
        <v>2272</v>
      </c>
      <c r="D53">
        <v>2238.89401367581</v>
      </c>
      <c r="E53">
        <v>2272</v>
      </c>
      <c r="F53">
        <v>2650.802</v>
      </c>
      <c r="G53">
        <v>2272</v>
      </c>
      <c r="H53">
        <v>2625.346</v>
      </c>
      <c r="I53">
        <v>2272</v>
      </c>
      <c r="J53">
        <v>5658.5</v>
      </c>
      <c r="K53">
        <v>2272</v>
      </c>
      <c r="L53">
        <v>2366</v>
      </c>
      <c r="M53">
        <v>2272</v>
      </c>
      <c r="N53">
        <v>2272.993</v>
      </c>
      <c r="O53">
        <v>2272</v>
      </c>
      <c r="P53">
        <v>2267.329</v>
      </c>
      <c r="S53">
        <v>2272</v>
      </c>
      <c r="T53">
        <v>3590.1586</v>
      </c>
      <c r="U53">
        <v>2238.89401367581</v>
      </c>
      <c r="V53">
        <v>2650.802</v>
      </c>
      <c r="W53">
        <v>2625.346</v>
      </c>
      <c r="X53">
        <v>5658.5</v>
      </c>
      <c r="Y53">
        <v>2366</v>
      </c>
      <c r="Z53">
        <v>2272.993</v>
      </c>
      <c r="AA53">
        <v>2267.329</v>
      </c>
    </row>
    <row r="54" spans="1:27">
      <c r="A54">
        <v>510</v>
      </c>
      <c r="B54">
        <v>-1659.4604</v>
      </c>
      <c r="C54">
        <v>510</v>
      </c>
      <c r="D54">
        <v>692.759901720693</v>
      </c>
      <c r="E54">
        <v>510</v>
      </c>
      <c r="F54">
        <v>-72.229</v>
      </c>
      <c r="G54">
        <v>510</v>
      </c>
      <c r="H54">
        <v>645.12</v>
      </c>
      <c r="I54">
        <v>510</v>
      </c>
      <c r="J54">
        <v>576.333</v>
      </c>
      <c r="K54">
        <v>510</v>
      </c>
      <c r="L54">
        <v>540.333</v>
      </c>
      <c r="M54">
        <v>510</v>
      </c>
      <c r="N54">
        <v>484.892</v>
      </c>
      <c r="O54">
        <v>510</v>
      </c>
      <c r="P54">
        <v>503.924</v>
      </c>
      <c r="S54">
        <v>510</v>
      </c>
      <c r="T54">
        <v>-1659.4604</v>
      </c>
      <c r="U54">
        <v>692.759901720693</v>
      </c>
      <c r="V54">
        <v>-72.229</v>
      </c>
      <c r="W54">
        <v>645.12</v>
      </c>
      <c r="X54">
        <v>576.333</v>
      </c>
      <c r="Y54">
        <v>540.333</v>
      </c>
      <c r="Z54">
        <v>484.892</v>
      </c>
      <c r="AA54">
        <v>503.924</v>
      </c>
    </row>
    <row r="55" spans="1:27">
      <c r="A55">
        <v>637</v>
      </c>
      <c r="B55">
        <v>-579.8942</v>
      </c>
      <c r="C55">
        <v>637</v>
      </c>
      <c r="D55">
        <v>974.396328242242</v>
      </c>
      <c r="E55">
        <v>637</v>
      </c>
      <c r="F55">
        <v>279.995</v>
      </c>
      <c r="G55">
        <v>637</v>
      </c>
      <c r="H55">
        <v>909.234</v>
      </c>
      <c r="I55">
        <v>637</v>
      </c>
      <c r="J55">
        <v>576.333</v>
      </c>
      <c r="K55">
        <v>637</v>
      </c>
      <c r="L55">
        <v>718.5</v>
      </c>
      <c r="M55">
        <v>637</v>
      </c>
      <c r="N55">
        <v>627.59</v>
      </c>
      <c r="O55">
        <v>637</v>
      </c>
      <c r="P55">
        <v>611.068</v>
      </c>
      <c r="S55">
        <v>637</v>
      </c>
      <c r="T55">
        <v>-579.8942</v>
      </c>
      <c r="U55">
        <v>974.396328242242</v>
      </c>
      <c r="V55">
        <v>279.995</v>
      </c>
      <c r="W55">
        <v>909.234</v>
      </c>
      <c r="X55">
        <v>576.333</v>
      </c>
      <c r="Y55">
        <v>718.5</v>
      </c>
      <c r="Z55">
        <v>627.59</v>
      </c>
      <c r="AA55">
        <v>611.068</v>
      </c>
    </row>
    <row r="56" spans="1:27">
      <c r="A56">
        <v>646</v>
      </c>
      <c r="B56">
        <v>-220.038800000001</v>
      </c>
      <c r="C56">
        <v>646</v>
      </c>
      <c r="D56">
        <v>1042.83304175221</v>
      </c>
      <c r="E56">
        <v>646</v>
      </c>
      <c r="F56">
        <v>397.403</v>
      </c>
      <c r="G56">
        <v>646</v>
      </c>
      <c r="H56">
        <v>726.321</v>
      </c>
      <c r="I56">
        <v>646</v>
      </c>
      <c r="J56">
        <v>576.333</v>
      </c>
      <c r="K56">
        <v>646</v>
      </c>
      <c r="L56">
        <v>718.5</v>
      </c>
      <c r="M56">
        <v>646</v>
      </c>
      <c r="N56">
        <v>640.341</v>
      </c>
      <c r="O56">
        <v>646</v>
      </c>
      <c r="P56">
        <v>649.445</v>
      </c>
      <c r="S56">
        <v>646</v>
      </c>
      <c r="T56">
        <v>-220.038800000001</v>
      </c>
      <c r="U56">
        <v>1042.83304175221</v>
      </c>
      <c r="V56">
        <v>397.403</v>
      </c>
      <c r="W56">
        <v>726.321</v>
      </c>
      <c r="X56">
        <v>576.333</v>
      </c>
      <c r="Y56">
        <v>718.5</v>
      </c>
      <c r="Z56">
        <v>640.341</v>
      </c>
      <c r="AA56">
        <v>649.445</v>
      </c>
    </row>
    <row r="57" spans="1:27">
      <c r="A57">
        <v>780</v>
      </c>
      <c r="B57">
        <v>1399.3105</v>
      </c>
      <c r="C57">
        <v>780</v>
      </c>
      <c r="D57">
        <v>1284.39245543827</v>
      </c>
      <c r="E57">
        <v>780</v>
      </c>
      <c r="F57">
        <v>925.739</v>
      </c>
      <c r="G57">
        <v>780</v>
      </c>
      <c r="H57">
        <v>1160.29</v>
      </c>
      <c r="I57">
        <v>780</v>
      </c>
      <c r="J57">
        <v>760.6</v>
      </c>
      <c r="K57">
        <v>780</v>
      </c>
      <c r="L57">
        <v>718.5</v>
      </c>
      <c r="M57">
        <v>780</v>
      </c>
      <c r="N57">
        <v>785.535</v>
      </c>
      <c r="O57">
        <v>780</v>
      </c>
      <c r="P57">
        <v>805.657</v>
      </c>
      <c r="S57">
        <v>780</v>
      </c>
      <c r="T57">
        <v>1399.3105</v>
      </c>
      <c r="U57">
        <v>1284.39245543827</v>
      </c>
      <c r="V57">
        <v>925.739</v>
      </c>
      <c r="W57">
        <v>1160.29</v>
      </c>
      <c r="X57">
        <v>760.6</v>
      </c>
      <c r="Y57">
        <v>718.5</v>
      </c>
      <c r="Z57">
        <v>785.535</v>
      </c>
      <c r="AA57">
        <v>805.657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Desc1</vt:lpstr>
      <vt:lpstr>Nonlinear regression</vt:lpstr>
      <vt:lpstr>Linear regression</vt:lpstr>
      <vt:lpstr>Sheet2</vt:lpstr>
      <vt:lpstr>Desc</vt:lpstr>
      <vt:lpstr>Sheet3</vt:lpstr>
      <vt:lpstr>Sheet6</vt:lpstr>
      <vt:lpstr>Sheet7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Aparupa Pani</cp:lastModifiedBy>
  <dcterms:created xsi:type="dcterms:W3CDTF">2021-03-20T09:44:00Z</dcterms:created>
  <dcterms:modified xsi:type="dcterms:W3CDTF">2021-12-06T07:47:50Z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7240F480ABB341A897868E9A682F0247</vt:lpwstr>
  </property>
  <property fmtid="{D5CDD505-2E9C-101B-9397-08002B2CF9AE}" pid="3" name="KSOProductBuildVer">
    <vt:lpwstr>1033-11.2.0.10382</vt:lpwstr>
  </property>
</Properties>
</file>